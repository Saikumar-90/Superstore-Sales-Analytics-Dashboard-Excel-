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af2abcfdfd56513f/Desktop/Project 1 (Excel)/"/>
    </mc:Choice>
  </mc:AlternateContent>
  <xr:revisionPtr revIDLastSave="25" documentId="8_{1351A8A2-F2FF-4EDB-AB47-92EA7FB943F9}" xr6:coauthVersionLast="47" xr6:coauthVersionMax="47" xr10:uidLastSave="{CC26FCED-EB6A-4D1F-907F-3EC3A5E4F181}"/>
  <bookViews>
    <workbookView xWindow="-110" yWindow="-110" windowWidth="19420" windowHeight="11020" firstSheet="2" activeTab="5" xr2:uid="{D4E58E86-6E9B-4FD6-BABF-0CED6D3AA5A1}"/>
  </bookViews>
  <sheets>
    <sheet name="Sample - Superstore" sheetId="2" r:id="rId1"/>
    <sheet name="1. KPI Overview" sheetId="3" r:id="rId2"/>
    <sheet name="2. Region Analysis" sheetId="4" r:id="rId3"/>
    <sheet name="3. Product Analysis" sheetId="5" r:id="rId4"/>
    <sheet name="4. Discount Analysis" sheetId="6" r:id="rId5"/>
    <sheet name="5. Time Analysis" sheetId="8" r:id="rId6"/>
    <sheet name="Dashboard" sheetId="7" r:id="rId7"/>
  </sheets>
  <definedNames>
    <definedName name="ExternalData_1" localSheetId="0" hidden="1">'Sample - Superstore'!$A$1:$Z$464</definedName>
    <definedName name="Slicer_Category">#N/A</definedName>
    <definedName name="Slicer_Region">#N/A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7" l="1"/>
  <c r="G9" i="3"/>
  <c r="G8" i="7"/>
  <c r="K8"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98F737-724D-42D0-B8EB-B569B56A89AA}"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<sst xmlns="http://schemas.openxmlformats.org/spreadsheetml/2006/main" count="7081" uniqueCount="2633">
  <si>
    <t>Row ID</t>
  </si>
  <si>
    <t>Order ID</t>
  </si>
  <si>
    <t>Order Date</t>
  </si>
  <si>
    <t>Ship Date</t>
  </si>
  <si>
    <t>Shipping Days</t>
  </si>
  <si>
    <t>Customer ID</t>
  </si>
  <si>
    <t>Customer Name</t>
  </si>
  <si>
    <t>Segment</t>
  </si>
  <si>
    <t>Ship Mode</t>
  </si>
  <si>
    <t>Country</t>
  </si>
  <si>
    <t>State</t>
  </si>
  <si>
    <t>City</t>
  </si>
  <si>
    <t>Region</t>
  </si>
  <si>
    <t>Postal Code</t>
  </si>
  <si>
    <t>Product ID</t>
  </si>
  <si>
    <t>Category</t>
  </si>
  <si>
    <t>Sub-Category</t>
  </si>
  <si>
    <t>Product Name</t>
  </si>
  <si>
    <t>Total Sales</t>
  </si>
  <si>
    <t>Total Profit</t>
  </si>
  <si>
    <t>Profit Margin</t>
  </si>
  <si>
    <t>Order Quantity</t>
  </si>
  <si>
    <t>Discount</t>
  </si>
  <si>
    <t>Order Year</t>
  </si>
  <si>
    <t>Order Month</t>
  </si>
  <si>
    <t>Order Month Name</t>
  </si>
  <si>
    <t>CA-2016-152156</t>
  </si>
  <si>
    <t>CG-12520</t>
  </si>
  <si>
    <t>Claire Gute</t>
  </si>
  <si>
    <t>Consumer</t>
  </si>
  <si>
    <t>Second Class</t>
  </si>
  <si>
    <t>United States</t>
  </si>
  <si>
    <t>Kentucky</t>
  </si>
  <si>
    <t>Henderson</t>
  </si>
  <si>
    <t>South</t>
  </si>
  <si>
    <t>42420</t>
  </si>
  <si>
    <t>FUR-BO-10001798</t>
  </si>
  <si>
    <t>Furniture</t>
  </si>
  <si>
    <t>Bookcases</t>
  </si>
  <si>
    <t>Bush Somerset Collection Bookcase</t>
  </si>
  <si>
    <t>August</t>
  </si>
  <si>
    <t>CA-2016-161389</t>
  </si>
  <si>
    <t>IM-15070</t>
  </si>
  <si>
    <t>Irene Maddox</t>
  </si>
  <si>
    <t>Standard Class</t>
  </si>
  <si>
    <t>Washington</t>
  </si>
  <si>
    <t>Seattle</t>
  </si>
  <si>
    <t>West</t>
  </si>
  <si>
    <t>98103</t>
  </si>
  <si>
    <t>OFF-BI-10003656</t>
  </si>
  <si>
    <t>Office Supplies</t>
  </si>
  <si>
    <t>Binders</t>
  </si>
  <si>
    <t>Fellowes PB200 Plastic Comb Binding Machine</t>
  </si>
  <si>
    <t>May</t>
  </si>
  <si>
    <t>CA-2016-117590</t>
  </si>
  <si>
    <t>GH-14485</t>
  </si>
  <si>
    <t>Gene Hale</t>
  </si>
  <si>
    <t>Corporate</t>
  </si>
  <si>
    <t>First Class</t>
  </si>
  <si>
    <t>Texas</t>
  </si>
  <si>
    <t>Richardson</t>
  </si>
  <si>
    <t>Central</t>
  </si>
  <si>
    <t>75080</t>
  </si>
  <si>
    <t>TEC-PH-10004977</t>
  </si>
  <si>
    <t>Technology</t>
  </si>
  <si>
    <t>Phones</t>
  </si>
  <si>
    <t>GE 30524EE4</t>
  </si>
  <si>
    <t>CA-2014-106376</t>
  </si>
  <si>
    <t>BS-11590</t>
  </si>
  <si>
    <t>Brendan Sweed</t>
  </si>
  <si>
    <t>Arizona</t>
  </si>
  <si>
    <t>Gilbert</t>
  </si>
  <si>
    <t>85234</t>
  </si>
  <si>
    <t>OFF-AR-10002671</t>
  </si>
  <si>
    <t>Art</t>
  </si>
  <si>
    <t>Hunt BOSTON Model 1606 High-Volume Electric Pencil Sharpener, Beige</t>
  </si>
  <si>
    <t>CA-2016-119823</t>
  </si>
  <si>
    <t>KD-16270</t>
  </si>
  <si>
    <t>Karen Daniels</t>
  </si>
  <si>
    <t>Virginia</t>
  </si>
  <si>
    <t>Springfield</t>
  </si>
  <si>
    <t>22153</t>
  </si>
  <si>
    <t>OFF-PA-10000482</t>
  </si>
  <si>
    <t>Paper</t>
  </si>
  <si>
    <t>Snap-A-Way Black Print Carbonless Ruled Speed Letter, Triplicate</t>
  </si>
  <si>
    <t>April</t>
  </si>
  <si>
    <t>US-2017-118038</t>
  </si>
  <si>
    <t>KB-16600</t>
  </si>
  <si>
    <t>Ken Brennan</t>
  </si>
  <si>
    <t>Houston</t>
  </si>
  <si>
    <t>77041</t>
  </si>
  <si>
    <t>OFF-BI-10004182</t>
  </si>
  <si>
    <t>Economy Binders</t>
  </si>
  <si>
    <t>September</t>
  </si>
  <si>
    <t>CA-2015-149734</t>
  </si>
  <si>
    <t>JC-16105</t>
  </si>
  <si>
    <t>Julie Creighton</t>
  </si>
  <si>
    <t>North Carolina</t>
  </si>
  <si>
    <t>Durham</t>
  </si>
  <si>
    <t>27707</t>
  </si>
  <si>
    <t>OFF-EN-10000927</t>
  </si>
  <si>
    <t>Envelopes</t>
  </si>
  <si>
    <t>Jet-Pak Recycled Peel 'N' Seal Padded Mailers</t>
  </si>
  <si>
    <t>March</t>
  </si>
  <si>
    <t>CA-2016-159695</t>
  </si>
  <si>
    <t>GM-14455</t>
  </si>
  <si>
    <t>Gary Mitchum</t>
  </si>
  <si>
    <t>Home Office</t>
  </si>
  <si>
    <t>77095</t>
  </si>
  <si>
    <t>OFF-ST-10003442</t>
  </si>
  <si>
    <t>Storage</t>
  </si>
  <si>
    <t>Eldon Portable Mobile Manager</t>
  </si>
  <si>
    <t>US-2017-109484</t>
  </si>
  <si>
    <t>RB-19705</t>
  </si>
  <si>
    <t>Roger Barcio</t>
  </si>
  <si>
    <t>Oregon</t>
  </si>
  <si>
    <t>Portland</t>
  </si>
  <si>
    <t>97206</t>
  </si>
  <si>
    <t>OFF-BI-10004738</t>
  </si>
  <si>
    <t>Flexible Leather- Look Classic Collection Ring Binder</t>
  </si>
  <si>
    <t>June</t>
  </si>
  <si>
    <t>CA-2017-161018</t>
  </si>
  <si>
    <t>PN-18775</t>
  </si>
  <si>
    <t>Parhena Norris</t>
  </si>
  <si>
    <t>New York</t>
  </si>
  <si>
    <t>New York City</t>
  </si>
  <si>
    <t>East</t>
  </si>
  <si>
    <t>10009</t>
  </si>
  <si>
    <t>FUR-FU-10000629</t>
  </si>
  <si>
    <t>Furnishings</t>
  </si>
  <si>
    <t>9-3/4 Diameter Round Wall Clock</t>
  </si>
  <si>
    <t>CA-2016-149223</t>
  </si>
  <si>
    <t>ER-13855</t>
  </si>
  <si>
    <t>Elpida Rittenbach</t>
  </si>
  <si>
    <t>Minnesota</t>
  </si>
  <si>
    <t>Saint Paul</t>
  </si>
  <si>
    <t>55106</t>
  </si>
  <si>
    <t>OFF-AP-10000358</t>
  </si>
  <si>
    <t>Appliances</t>
  </si>
  <si>
    <t>Fellowes Basic Home/Office Series Surge Protectors</t>
  </si>
  <si>
    <t>CA-2016-129903</t>
  </si>
  <si>
    <t>GZ-14470</t>
  </si>
  <si>
    <t>Gary Zandusky</t>
  </si>
  <si>
    <t>Rochester</t>
  </si>
  <si>
    <t>55901</t>
  </si>
  <si>
    <t>OFF-PA-10004040</t>
  </si>
  <si>
    <t>Universal Premium White Copier/Laser Paper (20Lb. and 87 Bright)</t>
  </si>
  <si>
    <t>January</t>
  </si>
  <si>
    <t>CA-2016-128867</t>
  </si>
  <si>
    <t>CL-12565</t>
  </si>
  <si>
    <t>Clay Ludtke</t>
  </si>
  <si>
    <t>Iowa</t>
  </si>
  <si>
    <t>Urbandale</t>
  </si>
  <si>
    <t>50322</t>
  </si>
  <si>
    <t>OFF-AR-10000380</t>
  </si>
  <si>
    <t>Hunt PowerHouse Electric Pencil Sharpener, Blue</t>
  </si>
  <si>
    <t>CA-2015-110457</t>
  </si>
  <si>
    <t>DK-13090</t>
  </si>
  <si>
    <t>Dave Kipp</t>
  </si>
  <si>
    <t>FUR-TA-10001768</t>
  </si>
  <si>
    <t>Tables</t>
  </si>
  <si>
    <t>Hon Racetrack Conference Tables</t>
  </si>
  <si>
    <t>February</t>
  </si>
  <si>
    <t>US-2015-136476</t>
  </si>
  <si>
    <t>GG-14650</t>
  </si>
  <si>
    <t>Greg Guthrie</t>
  </si>
  <si>
    <t>Tennessee</t>
  </si>
  <si>
    <t>Bristol</t>
  </si>
  <si>
    <t>37620</t>
  </si>
  <si>
    <t>OFF-BI-10003650</t>
  </si>
  <si>
    <t>GBC DocuBind 300 Electric Binding Machine</t>
  </si>
  <si>
    <t>US-2017-107272</t>
  </si>
  <si>
    <t>TS-21610</t>
  </si>
  <si>
    <t>Troy Staebel</t>
  </si>
  <si>
    <t>Phoenix</t>
  </si>
  <si>
    <t>85023</t>
  </si>
  <si>
    <t>OFF-BI-10003274</t>
  </si>
  <si>
    <t>Avery Durable Slant Ring Binders, No Labels</t>
  </si>
  <si>
    <t>US-2017-164147</t>
  </si>
  <si>
    <t>DW-13585</t>
  </si>
  <si>
    <t>Dorothy Wardle</t>
  </si>
  <si>
    <t>Ohio</t>
  </si>
  <si>
    <t>Columbus</t>
  </si>
  <si>
    <t>43229</t>
  </si>
  <si>
    <t>TEC-PH-10002293</t>
  </si>
  <si>
    <t>Anker 36W 4-Port USB Wall Charger Travel Power Adapter for iPhone 5s 5c 5</t>
  </si>
  <si>
    <t>CA-2016-110366</t>
  </si>
  <si>
    <t>JD-15895</t>
  </si>
  <si>
    <t>Jonathan Doherty</t>
  </si>
  <si>
    <t>Pennsylvania</t>
  </si>
  <si>
    <t>Philadelphia</t>
  </si>
  <si>
    <t>19140</t>
  </si>
  <si>
    <t>FUR-FU-10004848</t>
  </si>
  <si>
    <t>Howard Miller 13-3/4" Diameter Brushed Chrome Round Wall Clock</t>
  </si>
  <si>
    <t>CA-2016-114489</t>
  </si>
  <si>
    <t>JE-16165</t>
  </si>
  <si>
    <t>Justin Ellison</t>
  </si>
  <si>
    <t>Wisconsin</t>
  </si>
  <si>
    <t>Franklin</t>
  </si>
  <si>
    <t>53132</t>
  </si>
  <si>
    <t>TEC-PH-10000215</t>
  </si>
  <si>
    <t>Plantronics Cordless Phone Headset with In-line Volume - M214C</t>
  </si>
  <si>
    <t>CA-2016-162733</t>
  </si>
  <si>
    <t>TT-21070</t>
  </si>
  <si>
    <t>Ted Trevino</t>
  </si>
  <si>
    <t>California</t>
  </si>
  <si>
    <t>Los Angeles</t>
  </si>
  <si>
    <t>90045</t>
  </si>
  <si>
    <t>OFF-PA-10002751</t>
  </si>
  <si>
    <t>Xerox 1920</t>
  </si>
  <si>
    <t>November</t>
  </si>
  <si>
    <t>CA-2016-113817</t>
  </si>
  <si>
    <t>MJ-17740</t>
  </si>
  <si>
    <t>Max Jones</t>
  </si>
  <si>
    <t>98115</t>
  </si>
  <si>
    <t>OFF-BI-10004002</t>
  </si>
  <si>
    <t>Wilson Jones International Size A4 Ring Binders</t>
  </si>
  <si>
    <t>July</t>
  </si>
  <si>
    <t>CA-2014-139892</t>
  </si>
  <si>
    <t>BM-11140</t>
  </si>
  <si>
    <t>Becky Martin</t>
  </si>
  <si>
    <t>San Antonio</t>
  </si>
  <si>
    <t>78207</t>
  </si>
  <si>
    <t>OFF-AR-10004441</t>
  </si>
  <si>
    <t>BIC Brite Liner Highlighters</t>
  </si>
  <si>
    <t>CA-2014-118962</t>
  </si>
  <si>
    <t>CS-12130</t>
  </si>
  <si>
    <t>Chad Sievert</t>
  </si>
  <si>
    <t>90004</t>
  </si>
  <si>
    <t>OFF-PA-10000659</t>
  </si>
  <si>
    <t>Adams Phone Message Book, Professional, 400 Message Capacity, 5 3/6” x 11”</t>
  </si>
  <si>
    <t>CA-2014-166191</t>
  </si>
  <si>
    <t>DK-13150</t>
  </si>
  <si>
    <t>David Kendrick</t>
  </si>
  <si>
    <t>Illinois</t>
  </si>
  <si>
    <t>Decatur</t>
  </si>
  <si>
    <t>62521</t>
  </si>
  <si>
    <t>OFF-ST-10003455</t>
  </si>
  <si>
    <t>Tenex File Box, Personal Filing Tote with Lid, Black</t>
  </si>
  <si>
    <t>CA-2014-133690</t>
  </si>
  <si>
    <t>BS-11755</t>
  </si>
  <si>
    <t>Bruce Stewart</t>
  </si>
  <si>
    <t>Colorado</t>
  </si>
  <si>
    <t>Denver</t>
  </si>
  <si>
    <t>80219</t>
  </si>
  <si>
    <t>FUR-TA-10004289</t>
  </si>
  <si>
    <t>BoxOffice By Design Rectangular and Half-Moon Meeting Room Tables</t>
  </si>
  <si>
    <t>CA-2017-126382</t>
  </si>
  <si>
    <t>HK-14890</t>
  </si>
  <si>
    <t>Heather Kirkland</t>
  </si>
  <si>
    <t>37064</t>
  </si>
  <si>
    <t>FUR-FU-10002960</t>
  </si>
  <si>
    <t>Eldon 200 Class Desk Accessories, Burgundy</t>
  </si>
  <si>
    <t>CA-2017-135860</t>
  </si>
  <si>
    <t>JH-15985</t>
  </si>
  <si>
    <t>Joseph Holt</t>
  </si>
  <si>
    <t>Michigan</t>
  </si>
  <si>
    <t>Saginaw</t>
  </si>
  <si>
    <t>48601</t>
  </si>
  <si>
    <t>OFF-ST-10000642</t>
  </si>
  <si>
    <t>Tennsco Lockers, Gray</t>
  </si>
  <si>
    <t>CA-2015-146262</t>
  </si>
  <si>
    <t>VW-21775</t>
  </si>
  <si>
    <t>Victoria Wilson</t>
  </si>
  <si>
    <t>Medina</t>
  </si>
  <si>
    <t>44256</t>
  </si>
  <si>
    <t>OFF-LA-10004544</t>
  </si>
  <si>
    <t>Labels</t>
  </si>
  <si>
    <t>Avery 505</t>
  </si>
  <si>
    <t>US-2017-100930</t>
  </si>
  <si>
    <t>CS-12400</t>
  </si>
  <si>
    <t>Christopher Schild</t>
  </si>
  <si>
    <t>Florida</t>
  </si>
  <si>
    <t>Tampa</t>
  </si>
  <si>
    <t>33614</t>
  </si>
  <si>
    <t>FUR-TA-10001705</t>
  </si>
  <si>
    <t>Bush Advantage Collection Round Conference Table</t>
  </si>
  <si>
    <t>CA-2016-157749</t>
  </si>
  <si>
    <t>KL-16645</t>
  </si>
  <si>
    <t>Ken Lonsdale</t>
  </si>
  <si>
    <t>Chicago</t>
  </si>
  <si>
    <t>60610</t>
  </si>
  <si>
    <t>OFF-PA-10003349</t>
  </si>
  <si>
    <t>Xerox 1957</t>
  </si>
  <si>
    <t>CA-2017-163139</t>
  </si>
  <si>
    <t>CC-12670</t>
  </si>
  <si>
    <t>Craig Carreira</t>
  </si>
  <si>
    <t>TEC-AC-10000290</t>
  </si>
  <si>
    <t>Accessories</t>
  </si>
  <si>
    <t>Sabrent 4-Port USB 2.0 Hub</t>
  </si>
  <si>
    <t>US-2017-155299</t>
  </si>
  <si>
    <t>Dl-13600</t>
  </si>
  <si>
    <t>Dorris liebe</t>
  </si>
  <si>
    <t>Pasadena</t>
  </si>
  <si>
    <t>77506</t>
  </si>
  <si>
    <t>OFF-AP-10002203</t>
  </si>
  <si>
    <t>Eureka Disposable Bags for Sanitaire Vibra Groomer I Upright Vac</t>
  </si>
  <si>
    <t>CA-2015-130890</t>
  </si>
  <si>
    <t>JO-15280</t>
  </si>
  <si>
    <t>Jas O'Carroll</t>
  </si>
  <si>
    <t>FUR-TA-10002903</t>
  </si>
  <si>
    <t>Bevis Round Bullnose 29" High Table Top</t>
  </si>
  <si>
    <t>CA-2015-144253</t>
  </si>
  <si>
    <t>AS-10225</t>
  </si>
  <si>
    <t>Alan Schoenberger</t>
  </si>
  <si>
    <t>10024</t>
  </si>
  <si>
    <t>FUR-FU-10002671</t>
  </si>
  <si>
    <t>Electrix 20W Halogen Replacement Bulb for Zoom-In Desk Lamp</t>
  </si>
  <si>
    <t>CA-2014-111003</t>
  </si>
  <si>
    <t>CR-12625</t>
  </si>
  <si>
    <t>Corey Roper</t>
  </si>
  <si>
    <t>New Jersey</t>
  </si>
  <si>
    <t>Lakewood</t>
  </si>
  <si>
    <t>8701</t>
  </si>
  <si>
    <t>OFF-BI-10001072</t>
  </si>
  <si>
    <t>GBC Clear Cover, 8-1/2 x 11, unpunched, 25 covers per pack</t>
  </si>
  <si>
    <t>CA-2014-164973</t>
  </si>
  <si>
    <t>NM-18445</t>
  </si>
  <si>
    <t>Nathan Mautz</t>
  </si>
  <si>
    <t>FUR-CH-10002602</t>
  </si>
  <si>
    <t>Chairs</t>
  </si>
  <si>
    <t>DMI Arturo Collection Mission-style Design Wood Chair</t>
  </si>
  <si>
    <t>CA-2017-153339</t>
  </si>
  <si>
    <t>DJ-13510</t>
  </si>
  <si>
    <t>Don Jones</t>
  </si>
  <si>
    <t>Murfreesboro</t>
  </si>
  <si>
    <t>37130</t>
  </si>
  <si>
    <t>FUR-FU-10001967</t>
  </si>
  <si>
    <t>Telescoping Adjustable Floor Lamp</t>
  </si>
  <si>
    <t>CA-2015-137946</t>
  </si>
  <si>
    <t>DB-13615</t>
  </si>
  <si>
    <t>Doug Bickford</t>
  </si>
  <si>
    <t>OFF-BI-10001922</t>
  </si>
  <si>
    <t>Storex Dura Pro Binders</t>
  </si>
  <si>
    <t>CA-2017-134306</t>
  </si>
  <si>
    <t>TD-20995</t>
  </si>
  <si>
    <t>Tamara Dahlen</t>
  </si>
  <si>
    <t>Massachusetts</t>
  </si>
  <si>
    <t>Lowell</t>
  </si>
  <si>
    <t>1852</t>
  </si>
  <si>
    <t>OFF-AR-10004027</t>
  </si>
  <si>
    <t>Binney &amp; Smith inkTank Erasable Desk Highlighter, Chisel Tip, Yellow, 12/Box</t>
  </si>
  <si>
    <t>CA-2017-155698</t>
  </si>
  <si>
    <t>VB-21745</t>
  </si>
  <si>
    <t>Victoria Brennan</t>
  </si>
  <si>
    <t>Georgia</t>
  </si>
  <si>
    <t>31907</t>
  </si>
  <si>
    <t>OFF-AP-10001124</t>
  </si>
  <si>
    <t>Belkin 8 Outlet SurgeMaster II Gold Surge Protector with Phone Protection</t>
  </si>
  <si>
    <t>CA-2015-122756</t>
  </si>
  <si>
    <t>DK-13225</t>
  </si>
  <si>
    <t>Dean Katz</t>
  </si>
  <si>
    <t>TEC-MA-10001681</t>
  </si>
  <si>
    <t>Machines</t>
  </si>
  <si>
    <t>Lexmark MarkNet N8150 Wireless Print Server</t>
  </si>
  <si>
    <t>US-2014-134971</t>
  </si>
  <si>
    <t>BP-11095</t>
  </si>
  <si>
    <t>Bart Pistole</t>
  </si>
  <si>
    <t>Peoria</t>
  </si>
  <si>
    <t>61604</t>
  </si>
  <si>
    <t>OFF-BI-10003982</t>
  </si>
  <si>
    <t>Wilson Jones Century Plastic Molded Ring Binders</t>
  </si>
  <si>
    <t>CA-2016-108987</t>
  </si>
  <si>
    <t>AG-10675</t>
  </si>
  <si>
    <t>Anna Gayman</t>
  </si>
  <si>
    <t>77036</t>
  </si>
  <si>
    <t>OFF-ST-10001580</t>
  </si>
  <si>
    <t>Super Decoflex Portable Personal File</t>
  </si>
  <si>
    <t>CA-2017-117457</t>
  </si>
  <si>
    <t>KH-16510</t>
  </si>
  <si>
    <t>Keith Herrera</t>
  </si>
  <si>
    <t>San Francisco</t>
  </si>
  <si>
    <t>94110</t>
  </si>
  <si>
    <t>TEC-AC-10000158</t>
  </si>
  <si>
    <t>Sony 64GB Class 10 Micro SDHC R40 Memory Card</t>
  </si>
  <si>
    <t>CA-2017-142636</t>
  </si>
  <si>
    <t>KC-16675</t>
  </si>
  <si>
    <t>Kimberly Carter</t>
  </si>
  <si>
    <t>98105</t>
  </si>
  <si>
    <t>OFF-PA-10000157</t>
  </si>
  <si>
    <t>Xerox 191</t>
  </si>
  <si>
    <t>CA-2017-154816</t>
  </si>
  <si>
    <t>Richmond</t>
  </si>
  <si>
    <t>40475</t>
  </si>
  <si>
    <t>OFF-PA-10003845</t>
  </si>
  <si>
    <t>Xerox 1987</t>
  </si>
  <si>
    <t>CA-2017-110478</t>
  </si>
  <si>
    <t>SP-20860</t>
  </si>
  <si>
    <t>Sung Pak</t>
  </si>
  <si>
    <t>OFF-AR-10001573</t>
  </si>
  <si>
    <t>American Pencil</t>
  </si>
  <si>
    <t>CA-2017-152275</t>
  </si>
  <si>
    <t>KH-16630</t>
  </si>
  <si>
    <t>Ken Heidel</t>
  </si>
  <si>
    <t>OFF-AR-10000369</t>
  </si>
  <si>
    <t>Design Ebony Sketching Pencil</t>
  </si>
  <si>
    <t>CA-2016-127369</t>
  </si>
  <si>
    <t>DB-13060</t>
  </si>
  <si>
    <t>Dave Brooks</t>
  </si>
  <si>
    <t>OFF-ST-10003306</t>
  </si>
  <si>
    <t>Letter Size Cart</t>
  </si>
  <si>
    <t>CA-2016-115756</t>
  </si>
  <si>
    <t>PK-19075</t>
  </si>
  <si>
    <t>Pete Kriz</t>
  </si>
  <si>
    <t>Detroit</t>
  </si>
  <si>
    <t>48227</t>
  </si>
  <si>
    <t>FUR-FU-10000246</t>
  </si>
  <si>
    <t>Aluminum Document Frame</t>
  </si>
  <si>
    <t>CA-2016-166674</t>
  </si>
  <si>
    <t>RB-19360</t>
  </si>
  <si>
    <t>Raymond Buch</t>
  </si>
  <si>
    <t>Auburn</t>
  </si>
  <si>
    <t>13021</t>
  </si>
  <si>
    <t>OFF-AR-10000588</t>
  </si>
  <si>
    <t>Newell 345</t>
  </si>
  <si>
    <t>CA-2014-144666</t>
  </si>
  <si>
    <t>JP-15520</t>
  </si>
  <si>
    <t>Jeremy Pistek</t>
  </si>
  <si>
    <t>OFF-ST-10002743</t>
  </si>
  <si>
    <t>SAFCO Boltless Steel Shelving</t>
  </si>
  <si>
    <t>CA-2014-134677</t>
  </si>
  <si>
    <t>XP-21865</t>
  </si>
  <si>
    <t>Xylona Preis</t>
  </si>
  <si>
    <t>San Diego</t>
  </si>
  <si>
    <t>92024</t>
  </si>
  <si>
    <t>TEC-AC-10001445</t>
  </si>
  <si>
    <t>Imation USB 2.0 Swivel Flash Drive USB flash drive - 4 GB - Pink</t>
  </si>
  <si>
    <t>US-2015-138303</t>
  </si>
  <si>
    <t>MG-18145</t>
  </si>
  <si>
    <t>Mike Gockenbach</t>
  </si>
  <si>
    <t>19134</t>
  </si>
  <si>
    <t>OFF-ST-10004963</t>
  </si>
  <si>
    <t>Eldon Gobal File Keepers</t>
  </si>
  <si>
    <t>CA-2015-102848</t>
  </si>
  <si>
    <t>KB-16240</t>
  </si>
  <si>
    <t>Karen Bern</t>
  </si>
  <si>
    <t>90036</t>
  </si>
  <si>
    <t>FUR-CH-10000595</t>
  </si>
  <si>
    <t>Safco Contoured Stacking Chairs</t>
  </si>
  <si>
    <t>US-2017-129441</t>
  </si>
  <si>
    <t>JC-15340</t>
  </si>
  <si>
    <t>Jasper Cacioppo</t>
  </si>
  <si>
    <t>90032</t>
  </si>
  <si>
    <t>FUR-FU-10000448</t>
  </si>
  <si>
    <t>Tenex Chairmats For Use With Carpeted Floors</t>
  </si>
  <si>
    <t>US-2017-122637</t>
  </si>
  <si>
    <t>EP-13915</t>
  </si>
  <si>
    <t>Emily Phan</t>
  </si>
  <si>
    <t>60653</t>
  </si>
  <si>
    <t>OFF-BI-10002429</t>
  </si>
  <si>
    <t>Premier Elliptical Ring Binder, Black</t>
  </si>
  <si>
    <t>CA-2015-147851</t>
  </si>
  <si>
    <t>MP-17470</t>
  </si>
  <si>
    <t>Mark Packer</t>
  </si>
  <si>
    <t>OFF-BI-10004528</t>
  </si>
  <si>
    <t>Cardinal Poly Pocket Divider Pockets for Ring Binders</t>
  </si>
  <si>
    <t>CA-2015-134894</t>
  </si>
  <si>
    <t>DK-12985</t>
  </si>
  <si>
    <t>Darren Koutras</t>
  </si>
  <si>
    <t>OFF-AP-10001271</t>
  </si>
  <si>
    <t>Eureka The Boss Cordless Rechargeable Stick Vac</t>
  </si>
  <si>
    <t>CA-2014-140795</t>
  </si>
  <si>
    <t>BD-11500</t>
  </si>
  <si>
    <t>Bradley Drucker</t>
  </si>
  <si>
    <t>Green Bay</t>
  </si>
  <si>
    <t>54302</t>
  </si>
  <si>
    <t>TEC-AC-10001432</t>
  </si>
  <si>
    <t>Enermax Aurora Lite Keyboard</t>
  </si>
  <si>
    <t>CA-2017-112774</t>
  </si>
  <si>
    <t>RC-19960</t>
  </si>
  <si>
    <t>Ryan Crowe</t>
  </si>
  <si>
    <t>Jacksonville</t>
  </si>
  <si>
    <t>32216</t>
  </si>
  <si>
    <t>FUR-FU-10003039</t>
  </si>
  <si>
    <t>Howard Miller 11-1/2" Diameter Grantwood Wall Clock</t>
  </si>
  <si>
    <t>CA-2014-155852</t>
  </si>
  <si>
    <t>AJ-10945</t>
  </si>
  <si>
    <t>Ashley Jarboe</t>
  </si>
  <si>
    <t>Wilmington</t>
  </si>
  <si>
    <t>28403</t>
  </si>
  <si>
    <t>OFF-AR-10003560</t>
  </si>
  <si>
    <t>Zebra Zazzle Fluorescent Highlighters</t>
  </si>
  <si>
    <t>CA-2015-130736</t>
  </si>
  <si>
    <t>JF-15490</t>
  </si>
  <si>
    <t>Jeremy Farry</t>
  </si>
  <si>
    <t>OFF-FA-10003467</t>
  </si>
  <si>
    <t>Fasteners</t>
  </si>
  <si>
    <t>Alliance Big Bands Rubber Bands, 12/Pack</t>
  </si>
  <si>
    <t>CA-2017-137099</t>
  </si>
  <si>
    <t>FP-14320</t>
  </si>
  <si>
    <t>Frank Preis</t>
  </si>
  <si>
    <t>90008</t>
  </si>
  <si>
    <t>TEC-PH-10002496</t>
  </si>
  <si>
    <t>Cisco SPA301</t>
  </si>
  <si>
    <t>CA-2017-156951</t>
  </si>
  <si>
    <t>EB-13840</t>
  </si>
  <si>
    <t>Ellis Ballard</t>
  </si>
  <si>
    <t>OFF-PA-10004530</t>
  </si>
  <si>
    <t>Personal Creations Ink Jet Cards and Labels</t>
  </si>
  <si>
    <t>CA-2016-127250</t>
  </si>
  <si>
    <t>SF-20200</t>
  </si>
  <si>
    <t>Sarah Foster</t>
  </si>
  <si>
    <t>Marysville</t>
  </si>
  <si>
    <t>98270</t>
  </si>
  <si>
    <t>OFF-AR-10003394</t>
  </si>
  <si>
    <t>Newell 332</t>
  </si>
  <si>
    <t>CA-2015-128139</t>
  </si>
  <si>
    <t>BD-11725</t>
  </si>
  <si>
    <t>Bruce Degenhardt</t>
  </si>
  <si>
    <t>FUR-CH-10003956</t>
  </si>
  <si>
    <t>Novimex High-Tech Fabric Mesh Task Chair</t>
  </si>
  <si>
    <t>CA-2015-168004</t>
  </si>
  <si>
    <t>DJ-13420</t>
  </si>
  <si>
    <t>Denny Joy</t>
  </si>
  <si>
    <t>Warner Robins</t>
  </si>
  <si>
    <t>31088</t>
  </si>
  <si>
    <t>FUR-CH-10001482</t>
  </si>
  <si>
    <t>Office Star - Mesh Screen back chair with Vinyl seat</t>
  </si>
  <si>
    <t>CA-2016-103947</t>
  </si>
  <si>
    <t>BB-10990</t>
  </si>
  <si>
    <t>Barry Blumstein</t>
  </si>
  <si>
    <t>Sierra Vista</t>
  </si>
  <si>
    <t>85635</t>
  </si>
  <si>
    <t>OFF-FA-10003112</t>
  </si>
  <si>
    <t>Staples</t>
  </si>
  <si>
    <t>CA-2017-132682</t>
  </si>
  <si>
    <t>TH-21235</t>
  </si>
  <si>
    <t>Tiffany House</t>
  </si>
  <si>
    <t>Dallas</t>
  </si>
  <si>
    <t>75081</t>
  </si>
  <si>
    <t>OFF-SU-10004231</t>
  </si>
  <si>
    <t>Supplies</t>
  </si>
  <si>
    <t>Acme Tagit Stainless Steel Antibacterial Scissors</t>
  </si>
  <si>
    <t>CA-2017-130351</t>
  </si>
  <si>
    <t>RB-19570</t>
  </si>
  <si>
    <t>Rob Beeghly</t>
  </si>
  <si>
    <t>Indiana</t>
  </si>
  <si>
    <t>47201</t>
  </si>
  <si>
    <t>OFF-AP-10004532</t>
  </si>
  <si>
    <t>Kensington 6 Outlet Guardian Standard Surge Protector</t>
  </si>
  <si>
    <t>US-2017-168116</t>
  </si>
  <si>
    <t>GT-14635</t>
  </si>
  <si>
    <t>Grant Thornton</t>
  </si>
  <si>
    <t>Same Day</t>
  </si>
  <si>
    <t>Burlington</t>
  </si>
  <si>
    <t>27217</t>
  </si>
  <si>
    <t>TEC-MA-10004125</t>
  </si>
  <si>
    <t>Cubify CubeX 3D Printer Triple Head Print</t>
  </si>
  <si>
    <t>CA-2014-157784</t>
  </si>
  <si>
    <t>MC-17845</t>
  </si>
  <si>
    <t>Michael Chen</t>
  </si>
  <si>
    <t>Mississippi</t>
  </si>
  <si>
    <t>Jackson</t>
  </si>
  <si>
    <t>39212</t>
  </si>
  <si>
    <t>TEC-AC-10003911</t>
  </si>
  <si>
    <t>NETGEAR AC1750 Dual Band Gigabit Smart WiFi Router</t>
  </si>
  <si>
    <t>CA-2016-163755</t>
  </si>
  <si>
    <t>AS-10285</t>
  </si>
  <si>
    <t>Alejandro Savely</t>
  </si>
  <si>
    <t>FUR-FU-10003394</t>
  </si>
  <si>
    <t>Tenex "The Solids" Textured Chair Mats</t>
  </si>
  <si>
    <t>CA-2017-146136</t>
  </si>
  <si>
    <t>AP-10915</t>
  </si>
  <si>
    <t>Arthur Prichep</t>
  </si>
  <si>
    <t>Palm Coast</t>
  </si>
  <si>
    <t>32137</t>
  </si>
  <si>
    <t>OFF-EN-10001219</t>
  </si>
  <si>
    <t>#10- 4 1/8" x 9 1/2" Security-Tint Envelopes</t>
  </si>
  <si>
    <t>CA-2014-153150</t>
  </si>
  <si>
    <t>OFF-BI-10003355</t>
  </si>
  <si>
    <t>Cardinal Holdit Business Card Pockets</t>
  </si>
  <si>
    <t>CA-2014-104472</t>
  </si>
  <si>
    <t>CK-12325</t>
  </si>
  <si>
    <t>Christine Kargatis</t>
  </si>
  <si>
    <t>Utah</t>
  </si>
  <si>
    <t>Orem</t>
  </si>
  <si>
    <t>84057</t>
  </si>
  <si>
    <t>OFF-BI-10001658</t>
  </si>
  <si>
    <t>GBC Standard Therm-A-Bind Covers</t>
  </si>
  <si>
    <t>CA-2016-114713</t>
  </si>
  <si>
    <t>SC-20695</t>
  </si>
  <si>
    <t>Steve Chapman</t>
  </si>
  <si>
    <t>Hialeah</t>
  </si>
  <si>
    <t>33012</t>
  </si>
  <si>
    <t>OFF-SU-10004664</t>
  </si>
  <si>
    <t>Acme Softgrip Scissors</t>
  </si>
  <si>
    <t>US-2016-150861</t>
  </si>
  <si>
    <t>EG-13900</t>
  </si>
  <si>
    <t>Emily Grady</t>
  </si>
  <si>
    <t>Oceanside</t>
  </si>
  <si>
    <t>11572</t>
  </si>
  <si>
    <t>OFF-PA-10001954</t>
  </si>
  <si>
    <t>Xerox 1964</t>
  </si>
  <si>
    <t>CA-2014-132500</t>
  </si>
  <si>
    <t>TEC-AC-10001383</t>
  </si>
  <si>
    <t>Logitech Wireless Touch Keyboard K400</t>
  </si>
  <si>
    <t>CA-2014-112326</t>
  </si>
  <si>
    <t>PO-19195</t>
  </si>
  <si>
    <t>Phillina Ober</t>
  </si>
  <si>
    <t>Naperville</t>
  </si>
  <si>
    <t>60540</t>
  </si>
  <si>
    <t>OFF-LA-10003223</t>
  </si>
  <si>
    <t>Avery 508</t>
  </si>
  <si>
    <t>CA-2017-126074</t>
  </si>
  <si>
    <t>RF-19735</t>
  </si>
  <si>
    <t>Roland Fjeld</t>
  </si>
  <si>
    <t>Trenton</t>
  </si>
  <si>
    <t>48183</t>
  </si>
  <si>
    <t>OFF-BI-10003638</t>
  </si>
  <si>
    <t>GBC Durable Plastic Covers</t>
  </si>
  <si>
    <t>CA-2016-110499</t>
  </si>
  <si>
    <t>YC-21895</t>
  </si>
  <si>
    <t>Yoseph Carroll</t>
  </si>
  <si>
    <t>TEC-CO-10002095</t>
  </si>
  <si>
    <t>Copiers</t>
  </si>
  <si>
    <t>Hewlett Packard 610 Color Digital Copier / Printer</t>
  </si>
  <si>
    <t>CA-2017-126046</t>
  </si>
  <si>
    <t>Atlanta</t>
  </si>
  <si>
    <t>30318</t>
  </si>
  <si>
    <t>OFF-LA-10004484</t>
  </si>
  <si>
    <t>Avery 476</t>
  </si>
  <si>
    <t>US-2015-157014</t>
  </si>
  <si>
    <t>BM-11785</t>
  </si>
  <si>
    <t>Bryan Mills</t>
  </si>
  <si>
    <t>OFF-BI-10001098</t>
  </si>
  <si>
    <t>Acco D-Ring Binder w/DublLock</t>
  </si>
  <si>
    <t>CA-2014-134313</t>
  </si>
  <si>
    <t>RA-19915</t>
  </si>
  <si>
    <t>Russell Applegate</t>
  </si>
  <si>
    <t>OFF-AR-10001897</t>
  </si>
  <si>
    <t>Model L Table or Wall-Mount Pencil Sharpener</t>
  </si>
  <si>
    <t>US-2017-156083</t>
  </si>
  <si>
    <t>JL-15175</t>
  </si>
  <si>
    <t>James Lanier</t>
  </si>
  <si>
    <t>Columbia</t>
  </si>
  <si>
    <t>38401</t>
  </si>
  <si>
    <t>OFF-PA-10001560</t>
  </si>
  <si>
    <t>Adams Telephone Message Books, 5 1/4” x 11”</t>
  </si>
  <si>
    <t>US-2016-137547</t>
  </si>
  <si>
    <t>EB-13705</t>
  </si>
  <si>
    <t>Ed Braxton</t>
  </si>
  <si>
    <t>Fort Worth</t>
  </si>
  <si>
    <t>76106</t>
  </si>
  <si>
    <t>TEC-PH-10002365</t>
  </si>
  <si>
    <t>Belkin Grip Candy Sheer Case / Cover for iPhone 5 and 5S</t>
  </si>
  <si>
    <t>CA-2016-161669</t>
  </si>
  <si>
    <t>EM-14095</t>
  </si>
  <si>
    <t>Eudokia Martin</t>
  </si>
  <si>
    <t>OFF-BI-10001294</t>
  </si>
  <si>
    <t>Fellowes Binding Cases</t>
  </si>
  <si>
    <t>CA-2017-107503</t>
  </si>
  <si>
    <t>GA-14725</t>
  </si>
  <si>
    <t>Guy Armstrong</t>
  </si>
  <si>
    <t>Lorain</t>
  </si>
  <si>
    <t>44052</t>
  </si>
  <si>
    <t>FUR-FU-10003878</t>
  </si>
  <si>
    <t>Linden 10" Round Wall Clock, Black</t>
  </si>
  <si>
    <t>CA-2014-107755</t>
  </si>
  <si>
    <t>CK-12760</t>
  </si>
  <si>
    <t>Cyma Kinney</t>
  </si>
  <si>
    <t>Linden</t>
  </si>
  <si>
    <t>7036</t>
  </si>
  <si>
    <t>TEC-AC-10000710</t>
  </si>
  <si>
    <t>Maxell DVD-RAM Discs</t>
  </si>
  <si>
    <t>CA-2014-125612</t>
  </si>
  <si>
    <t>BK-11260</t>
  </si>
  <si>
    <t>Berenike Kampe</t>
  </si>
  <si>
    <t>10035</t>
  </si>
  <si>
    <t>OFF-PA-10001019</t>
  </si>
  <si>
    <t>Xerox 1884</t>
  </si>
  <si>
    <t>CA-2016-134474</t>
  </si>
  <si>
    <t>AJ-10795</t>
  </si>
  <si>
    <t>Anthony Johnson</t>
  </si>
  <si>
    <t>TEC-AC-10001714</t>
  </si>
  <si>
    <t>Logitech MX Performance Wireless Mouse</t>
  </si>
  <si>
    <t>CA-2014-136742</t>
  </si>
  <si>
    <t>GP-14740</t>
  </si>
  <si>
    <t>Guy Phonely</t>
  </si>
  <si>
    <t>Lancaster</t>
  </si>
  <si>
    <t>17602</t>
  </si>
  <si>
    <t>OFF-BI-10003719</t>
  </si>
  <si>
    <t>Large Capacity Hanging Post Binders</t>
  </si>
  <si>
    <t>CA-2016-158099</t>
  </si>
  <si>
    <t>PK-18910</t>
  </si>
  <si>
    <t>Paul Knutson</t>
  </si>
  <si>
    <t>19143</t>
  </si>
  <si>
    <t>OFF-BI-10000545</t>
  </si>
  <si>
    <t>GBC Ibimaster 500 Manual ProClick Binding System</t>
  </si>
  <si>
    <t>CA-2016-105494</t>
  </si>
  <si>
    <t>PC-18745</t>
  </si>
  <si>
    <t>Pamela Coakley</t>
  </si>
  <si>
    <t>94122</t>
  </si>
  <si>
    <t>OFF-ST-10002205</t>
  </si>
  <si>
    <t>File Shuttle I and Handi-File</t>
  </si>
  <si>
    <t>October</t>
  </si>
  <si>
    <t>CA-2016-140634</t>
  </si>
  <si>
    <t>HL-15040</t>
  </si>
  <si>
    <t>Hunter Lopez</t>
  </si>
  <si>
    <t>OFF-EN-10001099</t>
  </si>
  <si>
    <t>Staple envelope</t>
  </si>
  <si>
    <t>US-2016-114622</t>
  </si>
  <si>
    <t>JR-16210</t>
  </si>
  <si>
    <t>Justin Ritter</t>
  </si>
  <si>
    <t>45503</t>
  </si>
  <si>
    <t>OFF-BI-10004716</t>
  </si>
  <si>
    <t>Wilson Jones Hanging Recycled Pressboard Data Binders</t>
  </si>
  <si>
    <t>CA-2016-130477</t>
  </si>
  <si>
    <t>LC-17140</t>
  </si>
  <si>
    <t>Logan Currie</t>
  </si>
  <si>
    <t>OFF-PA-10002947</t>
  </si>
  <si>
    <t>Xerox 1923</t>
  </si>
  <si>
    <t>CA-2017-137596</t>
  </si>
  <si>
    <t>BE-11335</t>
  </si>
  <si>
    <t>Bill Eplett</t>
  </si>
  <si>
    <t>49201</t>
  </si>
  <si>
    <t>TEC-PH-10001494</t>
  </si>
  <si>
    <t>Polycom CX600 IP Phone VoIP phone</t>
  </si>
  <si>
    <t>CA-2015-115091</t>
  </si>
  <si>
    <t>JJ-15760</t>
  </si>
  <si>
    <t>Joel Jenkins</t>
  </si>
  <si>
    <t>OFF-AR-10000658</t>
  </si>
  <si>
    <t>Newell 324</t>
  </si>
  <si>
    <t>CA-2017-114216</t>
  </si>
  <si>
    <t>RK-19300</t>
  </si>
  <si>
    <t>Ralph Kennedy</t>
  </si>
  <si>
    <t>OFF-PA-10002195</t>
  </si>
  <si>
    <t>RSVP Cards &amp; Envelopes, Blank White, 8-1/2" X 11", 24 Cards/25 Envelopes/Set</t>
  </si>
  <si>
    <t>CA-2017-131156</t>
  </si>
  <si>
    <t>KH-16360</t>
  </si>
  <si>
    <t>Katherine Hughes</t>
  </si>
  <si>
    <t>FUR-FU-10001940</t>
  </si>
  <si>
    <t>Staple-based wall hangings</t>
  </si>
  <si>
    <t>CA-2016-120859</t>
  </si>
  <si>
    <t>CV-12805</t>
  </si>
  <si>
    <t>Cynthia Voltz</t>
  </si>
  <si>
    <t>OFF-EN-10001335</t>
  </si>
  <si>
    <t>White Business Envelopes with Contemporary Seam, Recycled White Business Envelopes</t>
  </si>
  <si>
    <t>CA-2017-135279</t>
  </si>
  <si>
    <t>BS-11800</t>
  </si>
  <si>
    <t>Bryan Spruell</t>
  </si>
  <si>
    <t>10011</t>
  </si>
  <si>
    <t>OFF-LA-10004055</t>
  </si>
  <si>
    <t>Color-Coded Legal Exhibit Labels</t>
  </si>
  <si>
    <t>CA-2015-157035</t>
  </si>
  <si>
    <t>OFF-PA-10004156</t>
  </si>
  <si>
    <t>Xerox 188</t>
  </si>
  <si>
    <t>CA-2016-144939</t>
  </si>
  <si>
    <t>EB-13870</t>
  </si>
  <si>
    <t>Emily Burns</t>
  </si>
  <si>
    <t>FUR-CH-10003199</t>
  </si>
  <si>
    <t>Office Star - Contemporary Task Swivel Chair</t>
  </si>
  <si>
    <t>CA-2015-146829</t>
  </si>
  <si>
    <t>TS-21340</t>
  </si>
  <si>
    <t>Toby Swindell</t>
  </si>
  <si>
    <t>OFF-BI-10004022</t>
  </si>
  <si>
    <t>Acco Suede Grain Vinyl Round Ring Binder</t>
  </si>
  <si>
    <t>CA-2015-105312</t>
  </si>
  <si>
    <t>MT-17815</t>
  </si>
  <si>
    <t>Meg Tillman</t>
  </si>
  <si>
    <t>Scottsdale</t>
  </si>
  <si>
    <t>85254</t>
  </si>
  <si>
    <t>OFF-EN-10002600</t>
  </si>
  <si>
    <t>Redi-Strip #10 Envelopes, 4 1/8 x 9 1/2</t>
  </si>
  <si>
    <t>CA-2015-108665</t>
  </si>
  <si>
    <t>KM-16225</t>
  </si>
  <si>
    <t>Kalyca Meade</t>
  </si>
  <si>
    <t>FUR-FU-10002191</t>
  </si>
  <si>
    <t>G.E. Halogen Desk Lamp Bulbs</t>
  </si>
  <si>
    <t>CA-2016-102981</t>
  </si>
  <si>
    <t>MO-17500</t>
  </si>
  <si>
    <t>Mary O'Rourke</t>
  </si>
  <si>
    <t>TEC-AC-10004761</t>
  </si>
  <si>
    <t>Maxell 4.7GB DVD+RW 3/Pack</t>
  </si>
  <si>
    <t>CA-2017-115651</t>
  </si>
  <si>
    <t>NS-18640</t>
  </si>
  <si>
    <t>Noel Staavos</t>
  </si>
  <si>
    <t>OFF-AR-10001130</t>
  </si>
  <si>
    <t>Quartet Alpha White Chalk, 12/Pack</t>
  </si>
  <si>
    <t>US-2015-153500</t>
  </si>
  <si>
    <t>DG-13300</t>
  </si>
  <si>
    <t>Deirdre Greer</t>
  </si>
  <si>
    <t>FUR-FU-10000293</t>
  </si>
  <si>
    <t>Eldon Antistatic Chair Mats for Low to Medium Pile Carpets</t>
  </si>
  <si>
    <t>CA-2015-110667</t>
  </si>
  <si>
    <t>NF-18595</t>
  </si>
  <si>
    <t>Nicole Fjeld</t>
  </si>
  <si>
    <t>OFF-AR-10000716</t>
  </si>
  <si>
    <t>DIXON Ticonderoga Erasable Checking Pencils</t>
  </si>
  <si>
    <t>CA-2016-167584</t>
  </si>
  <si>
    <t>LC-16870</t>
  </si>
  <si>
    <t>Lena Cacioppo</t>
  </si>
  <si>
    <t>Des Moines</t>
  </si>
  <si>
    <t>50315</t>
  </si>
  <si>
    <t>OFF-PA-10000029</t>
  </si>
  <si>
    <t>Xerox 224</t>
  </si>
  <si>
    <t>December</t>
  </si>
  <si>
    <t>CA-2015-105970</t>
  </si>
  <si>
    <t>PA-19060</t>
  </si>
  <si>
    <t>Pete Armstrong</t>
  </si>
  <si>
    <t>47374</t>
  </si>
  <si>
    <t>OFF-AR-10003156</t>
  </si>
  <si>
    <t>50 Colored Long Pencils</t>
  </si>
  <si>
    <t>US-2016-148803</t>
  </si>
  <si>
    <t>LR-16915</t>
  </si>
  <si>
    <t>Lena Radford</t>
  </si>
  <si>
    <t>Homestead</t>
  </si>
  <si>
    <t>33030</t>
  </si>
  <si>
    <t>OFF-ST-10001476</t>
  </si>
  <si>
    <t>Steel Personal Filing/Posting Tote</t>
  </si>
  <si>
    <t>CA-2015-112452</t>
  </si>
  <si>
    <t>NC-18340</t>
  </si>
  <si>
    <t>Nat Carroll</t>
  </si>
  <si>
    <t>Lansing</t>
  </si>
  <si>
    <t>48911</t>
  </si>
  <si>
    <t>OFF-AP-10003849</t>
  </si>
  <si>
    <t>Hoover Shoulder Vac Commercial Portable Vacuum</t>
  </si>
  <si>
    <t>CA-2016-149314</t>
  </si>
  <si>
    <t>GB-14530</t>
  </si>
  <si>
    <t>George Bell</t>
  </si>
  <si>
    <t>FUR-CH-10002126</t>
  </si>
  <si>
    <t>Hon Deluxe Fabric Upholstered Stacking Chairs</t>
  </si>
  <si>
    <t>CA-2014-126522</t>
  </si>
  <si>
    <t>LT-16765</t>
  </si>
  <si>
    <t>Larry Tron</t>
  </si>
  <si>
    <t>Escondido</t>
  </si>
  <si>
    <t>92025</t>
  </si>
  <si>
    <t>OFF-AR-10004042</t>
  </si>
  <si>
    <t>BOSTON Model 1800 Electric Pencil Sharpeners, Putty/Woodgrain</t>
  </si>
  <si>
    <t>CA-2014-127964</t>
  </si>
  <si>
    <t>AP-10720</t>
  </si>
  <si>
    <t>Anne Pryor</t>
  </si>
  <si>
    <t>TEC-PH-10004700</t>
  </si>
  <si>
    <t>PowerGen Dual USB Car Charger</t>
  </si>
  <si>
    <t>CA-2017-145226</t>
  </si>
  <si>
    <t>DL-13315</t>
  </si>
  <si>
    <t>Delfina Latchford</t>
  </si>
  <si>
    <t>FUR-FU-10004952</t>
  </si>
  <si>
    <t>C-Line Cubicle Keepers Polyproplyene Holder w/Velcro Back, 8-1/2x11, 25/Bx</t>
  </si>
  <si>
    <t>CA-2016-113621</t>
  </si>
  <si>
    <t>JE-15745</t>
  </si>
  <si>
    <t>Joel Eaton</t>
  </si>
  <si>
    <t>Maryland</t>
  </si>
  <si>
    <t>Rockville</t>
  </si>
  <si>
    <t>20852</t>
  </si>
  <si>
    <t>FUR-CH-10001270</t>
  </si>
  <si>
    <t>Harbour Creations Steel Folding Chair</t>
  </si>
  <si>
    <t>CA-2016-130946</t>
  </si>
  <si>
    <t>ZC-21910</t>
  </si>
  <si>
    <t>Zuschuss Carroll</t>
  </si>
  <si>
    <t>TEC-AC-10001990</t>
  </si>
  <si>
    <t>Kensington Orbit Wireless Mobile Trackball for PC and Mac</t>
  </si>
  <si>
    <t>CA-2017-133235</t>
  </si>
  <si>
    <t>LH-16750</t>
  </si>
  <si>
    <t>Larry Hughes</t>
  </si>
  <si>
    <t>Charlotte</t>
  </si>
  <si>
    <t>28205</t>
  </si>
  <si>
    <t>TEC-PH-10002660</t>
  </si>
  <si>
    <t>Nortel Networks T7316 E Nt8 B27</t>
  </si>
  <si>
    <t>CA-2015-154956</t>
  </si>
  <si>
    <t>Milwaukee</t>
  </si>
  <si>
    <t>53209</t>
  </si>
  <si>
    <t>TEC-PH-10004165</t>
  </si>
  <si>
    <t>Mitel MiVoice 5330e IP Phone</t>
  </si>
  <si>
    <t>CA-2017-110380</t>
  </si>
  <si>
    <t>PF-19225</t>
  </si>
  <si>
    <t>Phillip Flathmann</t>
  </si>
  <si>
    <t>OFF-AR-10000422</t>
  </si>
  <si>
    <t>Pencil and Crayon Sharpener</t>
  </si>
  <si>
    <t>CA-2017-100426</t>
  </si>
  <si>
    <t>DC-12850</t>
  </si>
  <si>
    <t>Dan Campbell</t>
  </si>
  <si>
    <t>Alabama</t>
  </si>
  <si>
    <t>Florence</t>
  </si>
  <si>
    <t>35630</t>
  </si>
  <si>
    <t>OFF-PA-10002870</t>
  </si>
  <si>
    <t>Ampad Phone Message Book, Recycled, 400 Message Capacity, 5 ¾” x 11”</t>
  </si>
  <si>
    <t>CA-2016-148698</t>
  </si>
  <si>
    <t>BD-11770</t>
  </si>
  <si>
    <t>Bryan Davis</t>
  </si>
  <si>
    <t>77070</t>
  </si>
  <si>
    <t>OFF-AR-10004022</t>
  </si>
  <si>
    <t>Panasonic KP-380BK Classic Electric Pencil Sharpener</t>
  </si>
  <si>
    <t>CA-2014-163293</t>
  </si>
  <si>
    <t>KC-16255</t>
  </si>
  <si>
    <t>Karen Carlisle</t>
  </si>
  <si>
    <t>Macon</t>
  </si>
  <si>
    <t>31204</t>
  </si>
  <si>
    <t>TEC-AC-10004209</t>
  </si>
  <si>
    <t>Memorex Froggy Flash Drive 4 GB</t>
  </si>
  <si>
    <t>CA-2016-160815</t>
  </si>
  <si>
    <t>TR-21325</t>
  </si>
  <si>
    <t>Toby Ritter</t>
  </si>
  <si>
    <t>Cedar Rapids</t>
  </si>
  <si>
    <t>52402</t>
  </si>
  <si>
    <t>TEC-PH-10003505</t>
  </si>
  <si>
    <t>Geemarc AmpliPOWER60</t>
  </si>
  <si>
    <t>CA-2017-122154</t>
  </si>
  <si>
    <t>SA-20830</t>
  </si>
  <si>
    <t>Sue Ann Reed</t>
  </si>
  <si>
    <t>OFF-LA-10000121</t>
  </si>
  <si>
    <t>Avery 48</t>
  </si>
  <si>
    <t>US-2015-149692</t>
  </si>
  <si>
    <t>KW-16435</t>
  </si>
  <si>
    <t>Katrina Willman</t>
  </si>
  <si>
    <t>Austin</t>
  </si>
  <si>
    <t>78745</t>
  </si>
  <si>
    <t>OFF-BI-10002813</t>
  </si>
  <si>
    <t>Avery Reinforcements for Hole-Punch Pages</t>
  </si>
  <si>
    <t>CA-2015-124268</t>
  </si>
  <si>
    <t>AD-10180</t>
  </si>
  <si>
    <t>Alan Dominguez</t>
  </si>
  <si>
    <t>OFF-AR-10004817</t>
  </si>
  <si>
    <t>Colorific Watercolor Pencils</t>
  </si>
  <si>
    <t>CA-2016-163384</t>
  </si>
  <si>
    <t>CC-12430</t>
  </si>
  <si>
    <t>Chuck Clark</t>
  </si>
  <si>
    <t>OFF-BI-10004970</t>
  </si>
  <si>
    <t>ACCOHIDE 3-Ring Binder, Blue, 1"</t>
  </si>
  <si>
    <t>CA-2015-121391</t>
  </si>
  <si>
    <t>AA-10315</t>
  </si>
  <si>
    <t>Alex Avila</t>
  </si>
  <si>
    <t>94109</t>
  </si>
  <si>
    <t>OFF-ST-10001590</t>
  </si>
  <si>
    <t>Tenex Personal Project File with Scoop Front Design, Black</t>
  </si>
  <si>
    <t>US-2017-126179</t>
  </si>
  <si>
    <t>CS-12460</t>
  </si>
  <si>
    <t>Chuck Sachs</t>
  </si>
  <si>
    <t>FUR-FU-10002554</t>
  </si>
  <si>
    <t>Westinghouse Floor Lamp with Metal Mesh Shade, Black</t>
  </si>
  <si>
    <t>CA-2017-121804</t>
  </si>
  <si>
    <t>LP-17095</t>
  </si>
  <si>
    <t>Liz Preis</t>
  </si>
  <si>
    <t>Murray</t>
  </si>
  <si>
    <t>42071</t>
  </si>
  <si>
    <t>OFF-AP-10004859</t>
  </si>
  <si>
    <t>Acco 6 Outlet Guardian Premium Surge Suppressor</t>
  </si>
  <si>
    <t>CA-2017-162635</t>
  </si>
  <si>
    <t>EB-14170</t>
  </si>
  <si>
    <t>Evan Bailliet</t>
  </si>
  <si>
    <t>OFF-PA-10002659</t>
  </si>
  <si>
    <t>Avoid Verbal Orders Carbonless Minifold Book</t>
  </si>
  <si>
    <t>CA-2017-127705</t>
  </si>
  <si>
    <t>AB-10255</t>
  </si>
  <si>
    <t>Alejandro Ballentine</t>
  </si>
  <si>
    <t>TEC-PH-10000347</t>
  </si>
  <si>
    <t>Cush Cases Heavy Duty Rugged Cover Case for Samsung Galaxy S5 - Purple</t>
  </si>
  <si>
    <t>CA-2014-121664</t>
  </si>
  <si>
    <t>HP-14815</t>
  </si>
  <si>
    <t>Harold Pawlan</t>
  </si>
  <si>
    <t>90049</t>
  </si>
  <si>
    <t>OFF-BI-10003684</t>
  </si>
  <si>
    <t>Wilson Jones Legal Size Ring Binders</t>
  </si>
  <si>
    <t>US-2017-123281</t>
  </si>
  <si>
    <t>JF-15190</t>
  </si>
  <si>
    <t>Jamie Frazer</t>
  </si>
  <si>
    <t>FUR-FU-10003724</t>
  </si>
  <si>
    <t>Westinghouse Clip-On Gooseneck Lamps</t>
  </si>
  <si>
    <t>CA-2017-113481</t>
  </si>
  <si>
    <t>AS-10045</t>
  </si>
  <si>
    <t>Aaron Smayling</t>
  </si>
  <si>
    <t>28540</t>
  </si>
  <si>
    <t>TEC-MA-10002178</t>
  </si>
  <si>
    <t>Cisco CP-7937G Unified IP Conference Station Phone</t>
  </si>
  <si>
    <t>CA-2014-153976</t>
  </si>
  <si>
    <t>BP-11290</t>
  </si>
  <si>
    <t>Beth Paige</t>
  </si>
  <si>
    <t>Evanston</t>
  </si>
  <si>
    <t>60201</t>
  </si>
  <si>
    <t>FUR-CH-10002880</t>
  </si>
  <si>
    <t>Global High-Back Leather Tilter, Burgundy</t>
  </si>
  <si>
    <t>CA-2017-162978</t>
  </si>
  <si>
    <t>LW-16990</t>
  </si>
  <si>
    <t>Lindsay Williams</t>
  </si>
  <si>
    <t>TEC-PH-10003092</t>
  </si>
  <si>
    <t>Motorola L804</t>
  </si>
  <si>
    <t>CA-2016-145247</t>
  </si>
  <si>
    <t>ND-18370</t>
  </si>
  <si>
    <t>Natalie DeCherney</t>
  </si>
  <si>
    <t>Louisville</t>
  </si>
  <si>
    <t>40214</t>
  </si>
  <si>
    <t>OFF-PA-10003641</t>
  </si>
  <si>
    <t>Xerox 1909</t>
  </si>
  <si>
    <t>CA-2017-136672</t>
  </si>
  <si>
    <t>MG-17890</t>
  </si>
  <si>
    <t>Michael Granlund</t>
  </si>
  <si>
    <t>Clinton</t>
  </si>
  <si>
    <t>20735</t>
  </si>
  <si>
    <t>TEC-AC-10004510</t>
  </si>
  <si>
    <t>Logitech Desktop MK120 Mouse and keyboard Combo</t>
  </si>
  <si>
    <t>US-2014-157021</t>
  </si>
  <si>
    <t>KM-16720</t>
  </si>
  <si>
    <t>Kunst Miller</t>
  </si>
  <si>
    <t>Vallejo</t>
  </si>
  <si>
    <t>94591</t>
  </si>
  <si>
    <t>OFF-LA-10002312</t>
  </si>
  <si>
    <t>Avery 490</t>
  </si>
  <si>
    <t>CA-2014-126361</t>
  </si>
  <si>
    <t>VD-21670</t>
  </si>
  <si>
    <t>Valerie Dominguez</t>
  </si>
  <si>
    <t>Pleasant Grove</t>
  </si>
  <si>
    <t>84062</t>
  </si>
  <si>
    <t>OFF-AP-10003590</t>
  </si>
  <si>
    <t>Hoover WindTunnel Plus Canister Vacuum</t>
  </si>
  <si>
    <t>US-2016-108504</t>
  </si>
  <si>
    <t>PP-18955</t>
  </si>
  <si>
    <t>Paul Prost</t>
  </si>
  <si>
    <t>Smyrna</t>
  </si>
  <si>
    <t>30080</t>
  </si>
  <si>
    <t>OFF-ST-10002344</t>
  </si>
  <si>
    <t>Carina 42"Hx23 3/4"W Media Storage Unit</t>
  </si>
  <si>
    <t>CA-2017-124828</t>
  </si>
  <si>
    <t>YS-21880</t>
  </si>
  <si>
    <t>Yana Sorensen</t>
  </si>
  <si>
    <t>OFF-AR-10003514</t>
  </si>
  <si>
    <t>4009 Highlighters by Sanford</t>
  </si>
  <si>
    <t>CA-2016-159212</t>
  </si>
  <si>
    <t>KM-16375</t>
  </si>
  <si>
    <t>Katherine Murray</t>
  </si>
  <si>
    <t>Salem</t>
  </si>
  <si>
    <t>24153</t>
  </si>
  <si>
    <t>TEC-PH-10003988</t>
  </si>
  <si>
    <t>LF Elite 3D Dazzle Designer Hard Case Cover, Lf Stylus Pen and Wiper For Apple Iphone 5c Mini Lite</t>
  </si>
  <si>
    <t>CA-2016-130407</t>
  </si>
  <si>
    <t>OFF-AR-10002240</t>
  </si>
  <si>
    <t>Panasonic KP-150 Electric Pencil Sharpener</t>
  </si>
  <si>
    <t>CA-2017-117695</t>
  </si>
  <si>
    <t>PW-19030</t>
  </si>
  <si>
    <t>Pauline Webber</t>
  </si>
  <si>
    <t>OFF-PA-10002713</t>
  </si>
  <si>
    <t>Adams Phone Message Book, 200 Message Capacity, 8 1/16” x 11”</t>
  </si>
  <si>
    <t>CA-2015-145821</t>
  </si>
  <si>
    <t>JB-15400</t>
  </si>
  <si>
    <t>Jennifer Braxton</t>
  </si>
  <si>
    <t>TEC-PH-10004348</t>
  </si>
  <si>
    <t>OtterBox Defender Series Case - iPhone 5c</t>
  </si>
  <si>
    <t>CA-2014-155271</t>
  </si>
  <si>
    <t>AA-10480</t>
  </si>
  <si>
    <t>Andrew Allen</t>
  </si>
  <si>
    <t>Connecticut</t>
  </si>
  <si>
    <t>Middletown</t>
  </si>
  <si>
    <t>6457</t>
  </si>
  <si>
    <t>FUR-FU-10001473</t>
  </si>
  <si>
    <t>DAX Wood Document Frame</t>
  </si>
  <si>
    <t>CA-2015-119907</t>
  </si>
  <si>
    <t>OFF-BI-10001765</t>
  </si>
  <si>
    <t>Wilson Jones Heavy-Duty Casebound Ring Binders with Metal Hinges</t>
  </si>
  <si>
    <t>US-2015-105676</t>
  </si>
  <si>
    <t>NM-18520</t>
  </si>
  <si>
    <t>Neoma Murray</t>
  </si>
  <si>
    <t>FUR-FU-10004270</t>
  </si>
  <si>
    <t>Eldon Image Series Desk Accessories, Burgundy</t>
  </si>
  <si>
    <t>US-2016-108455</t>
  </si>
  <si>
    <t>MK-18160</t>
  </si>
  <si>
    <t>Mike Kennedy</t>
  </si>
  <si>
    <t>OFF-PA-10002262</t>
  </si>
  <si>
    <t>Xerox 192</t>
  </si>
  <si>
    <t>CA-2015-140410</t>
  </si>
  <si>
    <t>CM-12655</t>
  </si>
  <si>
    <t>Corinna Mitchell</t>
  </si>
  <si>
    <t>TEC-PH-10003580</t>
  </si>
  <si>
    <t>Cisco IP Phone 7961G-GE VoIP phone</t>
  </si>
  <si>
    <t>CA-2015-153388</t>
  </si>
  <si>
    <t>PC-19000</t>
  </si>
  <si>
    <t>Pauline Chand</t>
  </si>
  <si>
    <t>OFF-AR-10001868</t>
  </si>
  <si>
    <t>Prang Dustless Chalk Sticks</t>
  </si>
  <si>
    <t>CA-2017-108294</t>
  </si>
  <si>
    <t>LS-16975</t>
  </si>
  <si>
    <t>Lindsay Shagiari</t>
  </si>
  <si>
    <t>Nebraska</t>
  </si>
  <si>
    <t>Omaha</t>
  </si>
  <si>
    <t>68104</t>
  </si>
  <si>
    <t>OFF-BI-10004965</t>
  </si>
  <si>
    <t>Ibico Covers for Plastic or Wire Binding Elements</t>
  </si>
  <si>
    <t>CA-2015-148432</t>
  </si>
  <si>
    <t>MC-18130</t>
  </si>
  <si>
    <t>Mike Caudle</t>
  </si>
  <si>
    <t>Delaware</t>
  </si>
  <si>
    <t>Newark</t>
  </si>
  <si>
    <t>19711</t>
  </si>
  <si>
    <t>OFF-FA-10004968</t>
  </si>
  <si>
    <t>Rubber Band Ball</t>
  </si>
  <si>
    <t>CA-2016-139885</t>
  </si>
  <si>
    <t>OFF-ST-10003324</t>
  </si>
  <si>
    <t>Belkin OmniView SE Rackmount Kit</t>
  </si>
  <si>
    <t>CA-2014-107181</t>
  </si>
  <si>
    <t>DB-13270</t>
  </si>
  <si>
    <t>Deborah Brumfield</t>
  </si>
  <si>
    <t>OFF-BI-10004230</t>
  </si>
  <si>
    <t>GBC Recycled Grain Textured Covers</t>
  </si>
  <si>
    <t>CA-2014-130274</t>
  </si>
  <si>
    <t>JS-15940</t>
  </si>
  <si>
    <t>Joni Sundaresam</t>
  </si>
  <si>
    <t>Appleton</t>
  </si>
  <si>
    <t>54915</t>
  </si>
  <si>
    <t>OFF-LA-10002195</t>
  </si>
  <si>
    <t>Avery 481</t>
  </si>
  <si>
    <t>CA-2014-105172</t>
  </si>
  <si>
    <t>OFF-LA-10001641</t>
  </si>
  <si>
    <t>Avery 518</t>
  </si>
  <si>
    <t>CA-2015-158554</t>
  </si>
  <si>
    <t>CM-12190</t>
  </si>
  <si>
    <t>Charlotte Melton</t>
  </si>
  <si>
    <t>OFF-PA-10004000</t>
  </si>
  <si>
    <t>While You Were Out Pads, 50 per Pad, 4 x 5 1/4, Green Cycle</t>
  </si>
  <si>
    <t>CA-2014-116239</t>
  </si>
  <si>
    <t>South Carolina</t>
  </si>
  <si>
    <t>29203</t>
  </si>
  <si>
    <t>OFF-ST-10001370</t>
  </si>
  <si>
    <t>Sensible Storage WireTech Storage Systems</t>
  </si>
  <si>
    <t>US-2017-152002</t>
  </si>
  <si>
    <t>DV-13465</t>
  </si>
  <si>
    <t>Dianna Vittorini</t>
  </si>
  <si>
    <t>OFF-PA-10000357</t>
  </si>
  <si>
    <t>White Dual Perf Computer Printout Paper, 2700 Sheets, 1 Part, Heavyweight, 20 lbs., 14 7/8 x 11</t>
  </si>
  <si>
    <t>CA-2017-149181</t>
  </si>
  <si>
    <t>MD-17350</t>
  </si>
  <si>
    <t>Maribeth Dona</t>
  </si>
  <si>
    <t>FUR-CH-10004540</t>
  </si>
  <si>
    <t>Global Chrome Stack Chair</t>
  </si>
  <si>
    <t>CA-2016-106530</t>
  </si>
  <si>
    <t>Cleveland</t>
  </si>
  <si>
    <t>44105</t>
  </si>
  <si>
    <t>OFF-ST-10002011</t>
  </si>
  <si>
    <t>Smead Adjustable Mobile File Trolley with Lockable Top</t>
  </si>
  <si>
    <t>CA-2017-111647</t>
  </si>
  <si>
    <t>RD-19585</t>
  </si>
  <si>
    <t>Rob Dowd</t>
  </si>
  <si>
    <t>Plano</t>
  </si>
  <si>
    <t>75023</t>
  </si>
  <si>
    <t>TEC-PH-10002726</t>
  </si>
  <si>
    <t>netTALK DUO VoIP Telephone Service</t>
  </si>
  <si>
    <t>CA-2015-150560</t>
  </si>
  <si>
    <t>SW-20455</t>
  </si>
  <si>
    <t>Shaun Weien</t>
  </si>
  <si>
    <t>Suffolk</t>
  </si>
  <si>
    <t>23434</t>
  </si>
  <si>
    <t>OFF-LA-10003930</t>
  </si>
  <si>
    <t>Dot Matrix Printer Tape Reel Labels, White, 5000/Box</t>
  </si>
  <si>
    <t>CA-2016-147585</t>
  </si>
  <si>
    <t>CB-12535</t>
  </si>
  <si>
    <t>Claudia Bergmann</t>
  </si>
  <si>
    <t>FUR-FU-10002597</t>
  </si>
  <si>
    <t>C-Line Magnetic Cubicle Keepers, Clear Polypropylene</t>
  </si>
  <si>
    <t>CA-2017-143798</t>
  </si>
  <si>
    <t>AW-10840</t>
  </si>
  <si>
    <t>Anthony Witt</t>
  </si>
  <si>
    <t>OFF-PA-10000788</t>
  </si>
  <si>
    <t>Xerox 210</t>
  </si>
  <si>
    <t>CA-2014-139857</t>
  </si>
  <si>
    <t>CD-12790</t>
  </si>
  <si>
    <t>Cynthia Delaney</t>
  </si>
  <si>
    <t>92037</t>
  </si>
  <si>
    <t>OFF-FA-10001843</t>
  </si>
  <si>
    <t>CA-2016-106306</t>
  </si>
  <si>
    <t>PG-18820</t>
  </si>
  <si>
    <t>Patrick Gardner</t>
  </si>
  <si>
    <t>Glendale</t>
  </si>
  <si>
    <t>85301</t>
  </si>
  <si>
    <t>OFF-BI-10003676</t>
  </si>
  <si>
    <t>GBC Standard Recycled Report Covers, Clear Plastic Sheets</t>
  </si>
  <si>
    <t>CA-2016-106894</t>
  </si>
  <si>
    <t>CA-12265</t>
  </si>
  <si>
    <t>Christina Anderson</t>
  </si>
  <si>
    <t>TEC-AC-10003063</t>
  </si>
  <si>
    <t>Micro Innovations USB RF Wireless Keyboard with Mouse</t>
  </si>
  <si>
    <t>CA-2014-133270</t>
  </si>
  <si>
    <t>14609</t>
  </si>
  <si>
    <t>OFF-AR-10002656</t>
  </si>
  <si>
    <t>Sanford Liquid Accent Highlighters</t>
  </si>
  <si>
    <t>CA-2015-135622</t>
  </si>
  <si>
    <t>TT-21460</t>
  </si>
  <si>
    <t>Tonja Turnell</t>
  </si>
  <si>
    <t>OFF-PA-10000100</t>
  </si>
  <si>
    <t>Xerox 1945</t>
  </si>
  <si>
    <t>CA-2015-130785</t>
  </si>
  <si>
    <t>AG-10900</t>
  </si>
  <si>
    <t>Arthur Gainer</t>
  </si>
  <si>
    <t>92105</t>
  </si>
  <si>
    <t>FUR-BO-10000330</t>
  </si>
  <si>
    <t>Sauder Camden County Barrister Bookcase, Planked Cherry Finish</t>
  </si>
  <si>
    <t>CA-2014-120474</t>
  </si>
  <si>
    <t>RP-19390</t>
  </si>
  <si>
    <t>Resi Pölking</t>
  </si>
  <si>
    <t>Madison</t>
  </si>
  <si>
    <t>53711</t>
  </si>
  <si>
    <t>FUR-CH-10001854</t>
  </si>
  <si>
    <t>Office Star - Professional Matrix Back Chair with 2-to-1 Synchro Tilt and Mesh Fabric Seat</t>
  </si>
  <si>
    <t>CA-2015-164833</t>
  </si>
  <si>
    <t>LL-16840</t>
  </si>
  <si>
    <t>Lauren Leatherbury</t>
  </si>
  <si>
    <t>OFF-LA-10000443</t>
  </si>
  <si>
    <t>Avery 501</t>
  </si>
  <si>
    <t>CA-2016-109344</t>
  </si>
  <si>
    <t>CH-12070</t>
  </si>
  <si>
    <t>Cathy Hwang</t>
  </si>
  <si>
    <t>Raleigh</t>
  </si>
  <si>
    <t>27604</t>
  </si>
  <si>
    <t>TEC-PH-10002624</t>
  </si>
  <si>
    <t>Samsung Galaxy S4 Mini</t>
  </si>
  <si>
    <t>CA-2017-162691</t>
  </si>
  <si>
    <t>TEC-MA-10000488</t>
  </si>
  <si>
    <t>Bady BDG101FRU Card Printer</t>
  </si>
  <si>
    <t>CA-2015-135391</t>
  </si>
  <si>
    <t>FA-14230</t>
  </si>
  <si>
    <t>Frank Atkinson</t>
  </si>
  <si>
    <t>OFF-LA-10001074</t>
  </si>
  <si>
    <t>Round Specialty Laser Printer Labels</t>
  </si>
  <si>
    <t>US-2017-116659</t>
  </si>
  <si>
    <t>NG-18355</t>
  </si>
  <si>
    <t>Nat Gilpin</t>
  </si>
  <si>
    <t>43055</t>
  </si>
  <si>
    <t>TEC-PH-10002824</t>
  </si>
  <si>
    <t>Jabra SPEAK 410 Multidevice Speakerphone</t>
  </si>
  <si>
    <t>CA-2015-109512</t>
  </si>
  <si>
    <t>LF-17185</t>
  </si>
  <si>
    <t>Luke Foster</t>
  </si>
  <si>
    <t>OFF-EN-10002621</t>
  </si>
  <si>
    <t>US-2017-108063</t>
  </si>
  <si>
    <t>AS-10090</t>
  </si>
  <si>
    <t>Adam Shillingsburg</t>
  </si>
  <si>
    <t>Charlottesville</t>
  </si>
  <si>
    <t>22901</t>
  </si>
  <si>
    <t>OFF-AR-10001446</t>
  </si>
  <si>
    <t>Newell 309</t>
  </si>
  <si>
    <t>CA-2017-141789</t>
  </si>
  <si>
    <t>AC-10450</t>
  </si>
  <si>
    <t>Amy Cox</t>
  </si>
  <si>
    <t>Minneapolis</t>
  </si>
  <si>
    <t>55407</t>
  </si>
  <si>
    <t>OFF-BI-10001359</t>
  </si>
  <si>
    <t>GBC DocuBind TL300 Electric Binding System</t>
  </si>
  <si>
    <t>CA-2015-157959</t>
  </si>
  <si>
    <t>RW-19540</t>
  </si>
  <si>
    <t>Rick Wilson</t>
  </si>
  <si>
    <t>FUR-FU-10004093</t>
  </si>
  <si>
    <t>Hand-Finished Solid Wood Document Frame</t>
  </si>
  <si>
    <t>CA-2017-121503</t>
  </si>
  <si>
    <t>FH-14275</t>
  </si>
  <si>
    <t>Frank Hawley</t>
  </si>
  <si>
    <t>OFF-PA-10001878</t>
  </si>
  <si>
    <t>Xerox 1891</t>
  </si>
  <si>
    <t>CA-2015-125178</t>
  </si>
  <si>
    <t>MZ-17515</t>
  </si>
  <si>
    <t>Mary Zewe</t>
  </si>
  <si>
    <t>Reading</t>
  </si>
  <si>
    <t>19601</t>
  </si>
  <si>
    <t>OFF-ST-10002562</t>
  </si>
  <si>
    <t>Staple magnet</t>
  </si>
  <si>
    <t>CA-2016-156685</t>
  </si>
  <si>
    <t>SC-20230</t>
  </si>
  <si>
    <t>Scot Coram</t>
  </si>
  <si>
    <t>Arlington</t>
  </si>
  <si>
    <t>76017</t>
  </si>
  <si>
    <t>TEC-PH-10004345</t>
  </si>
  <si>
    <t>Cisco SPA 502G IP Phone</t>
  </si>
  <si>
    <t>CA-2017-161200</t>
  </si>
  <si>
    <t>SV-20365</t>
  </si>
  <si>
    <t>Seth Vernon</t>
  </si>
  <si>
    <t>Louisiana</t>
  </si>
  <si>
    <t>Lafayette</t>
  </si>
  <si>
    <t>70506</t>
  </si>
  <si>
    <t>FUR-BO-10000468</t>
  </si>
  <si>
    <t>O'Sullivan 2-Shelf Heavy-Duty Bookcases</t>
  </si>
  <si>
    <t>CA-2016-112109</t>
  </si>
  <si>
    <t>JE-15715</t>
  </si>
  <si>
    <t>Joe Elijah</t>
  </si>
  <si>
    <t>Broomfield</t>
  </si>
  <si>
    <t>80020</t>
  </si>
  <si>
    <t>OFF-BI-10002082</t>
  </si>
  <si>
    <t>GBC Twin Loop Wire Binding Elements</t>
  </si>
  <si>
    <t>CA-2017-140242</t>
  </si>
  <si>
    <t>ML-17755</t>
  </si>
  <si>
    <t>Max Ludwig</t>
  </si>
  <si>
    <t>60623</t>
  </si>
  <si>
    <t>OFF-AR-10004752</t>
  </si>
  <si>
    <t>Blackstonian Pencils</t>
  </si>
  <si>
    <t>CA-2015-109939</t>
  </si>
  <si>
    <t>AA-10375</t>
  </si>
  <si>
    <t>Allen Armold</t>
  </si>
  <si>
    <t>97301</t>
  </si>
  <si>
    <t>OFF-AR-10000127</t>
  </si>
  <si>
    <t>Newell 321</t>
  </si>
  <si>
    <t>CA-2014-122749</t>
  </si>
  <si>
    <t>NG-18430</t>
  </si>
  <si>
    <t>Nathan Gelder</t>
  </si>
  <si>
    <t>Oklahoma</t>
  </si>
  <si>
    <t>Oklahoma City</t>
  </si>
  <si>
    <t>73120</t>
  </si>
  <si>
    <t>TEC-PH-10003811</t>
  </si>
  <si>
    <t>Jabra Supreme Plus Driver Edition Headset</t>
  </si>
  <si>
    <t>US-2017-147221</t>
  </si>
  <si>
    <t>JS-16030</t>
  </si>
  <si>
    <t>Joy Smith</t>
  </si>
  <si>
    <t>OFF-AP-10002534</t>
  </si>
  <si>
    <t>3.6 Cubic Foot Counter Height Office Refrigerator</t>
  </si>
  <si>
    <t>CA-2017-165386</t>
  </si>
  <si>
    <t>FUR-BO-10003034</t>
  </si>
  <si>
    <t>O'Sullivan Elevations Bookcase, Cherry Finish</t>
  </si>
  <si>
    <t>CA-2015-155761</t>
  </si>
  <si>
    <t>SC-20800</t>
  </si>
  <si>
    <t>Stuart Calhoun</t>
  </si>
  <si>
    <t>TEC-AC-10001606</t>
  </si>
  <si>
    <t>Logitech Wireless Performance Mouse MX for PC and Mac</t>
  </si>
  <si>
    <t>CA-2016-113516</t>
  </si>
  <si>
    <t>VM-21685</t>
  </si>
  <si>
    <t>Valerie Mitchum</t>
  </si>
  <si>
    <t>93534</t>
  </si>
  <si>
    <t>OFF-BI-10002225</t>
  </si>
  <si>
    <t>Square Ring Data Binders, Rigid 75 Pt. Covers, 11" x 14-7/8"</t>
  </si>
  <si>
    <t>CA-2015-104493</t>
  </si>
  <si>
    <t>OFF-BI-10004817</t>
  </si>
  <si>
    <t>GBC Personal VeloBind Strips</t>
  </si>
  <si>
    <t>CA-2017-122504</t>
  </si>
  <si>
    <t>Brentwood</t>
  </si>
  <si>
    <t>94513</t>
  </si>
  <si>
    <t>TEC-AC-10003289</t>
  </si>
  <si>
    <t>Anker Ultra-Slim Mini Bluetooth 3.0 Wireless Keyboard</t>
  </si>
  <si>
    <t>CA-2017-158246</t>
  </si>
  <si>
    <t>Sunnyvale</t>
  </si>
  <si>
    <t>94086</t>
  </si>
  <si>
    <t>FUR-CH-10003061</t>
  </si>
  <si>
    <t>Global Leather Task Chair, Black</t>
  </si>
  <si>
    <t>CA-2017-144862</t>
  </si>
  <si>
    <t>EH-14005</t>
  </si>
  <si>
    <t>Erica Hernandez</t>
  </si>
  <si>
    <t>OFF-EN-10003040</t>
  </si>
  <si>
    <t>Quality Park Security Envelopes</t>
  </si>
  <si>
    <t>CA-2015-134859</t>
  </si>
  <si>
    <t>JK-16120</t>
  </si>
  <si>
    <t>Julie Kriz</t>
  </si>
  <si>
    <t>FUR-FU-10003623</t>
  </si>
  <si>
    <t>DataProducts Ampli Magnifier Task Lamp, Black,</t>
  </si>
  <si>
    <t>CA-2016-101938</t>
  </si>
  <si>
    <t>DW-13480</t>
  </si>
  <si>
    <t>Dianna Wilson</t>
  </si>
  <si>
    <t>Oakland</t>
  </si>
  <si>
    <t>94601</t>
  </si>
  <si>
    <t>OFF-AR-10003696</t>
  </si>
  <si>
    <t>Panasonic KP-350BK Electric Pencil Sharpener with Auto Stop</t>
  </si>
  <si>
    <t>CA-2014-152296</t>
  </si>
  <si>
    <t>IL-15100</t>
  </si>
  <si>
    <t>Ivan Liston</t>
  </si>
  <si>
    <t>OFF-BI-10004506</t>
  </si>
  <si>
    <t>Wilson Jones data.warehouse D-Ring Binders with DublLock</t>
  </si>
  <si>
    <t>CA-2016-128818</t>
  </si>
  <si>
    <t>CJ-12010</t>
  </si>
  <si>
    <t>Caroline Jumper</t>
  </si>
  <si>
    <t>OFF-BI-10000309</t>
  </si>
  <si>
    <t>GBC Twin Loop Wire Binding Elements, 9/16" Spine, Black</t>
  </si>
  <si>
    <t>CA-2017-124576</t>
  </si>
  <si>
    <t>Salinas</t>
  </si>
  <si>
    <t>93905</t>
  </si>
  <si>
    <t>OFF-BI-10002735</t>
  </si>
  <si>
    <t>GBC Prestige Therm-A-Bind Covers</t>
  </si>
  <si>
    <t>CA-2015-138002</t>
  </si>
  <si>
    <t>BT-11305</t>
  </si>
  <si>
    <t>Beth Thompson</t>
  </si>
  <si>
    <t>OFF-BI-10002160</t>
  </si>
  <si>
    <t>Acco Hanging Data Binders</t>
  </si>
  <si>
    <t>CA-2016-164350</t>
  </si>
  <si>
    <t>CG-12040</t>
  </si>
  <si>
    <t>Catherine Glotzbach</t>
  </si>
  <si>
    <t>OFF-AR-10000538</t>
  </si>
  <si>
    <t>Boston Model 1800 Electric Pencil Sharpener, Gray</t>
  </si>
  <si>
    <t>CA-2015-131884</t>
  </si>
  <si>
    <t>DK-13375</t>
  </si>
  <si>
    <t>Dennis Kane</t>
  </si>
  <si>
    <t>Marion</t>
  </si>
  <si>
    <t>43302</t>
  </si>
  <si>
    <t>TEC-PH-10001578</t>
  </si>
  <si>
    <t>Polycom SoundStation2 EX Conference phone</t>
  </si>
  <si>
    <t>CA-2016-139157</t>
  </si>
  <si>
    <t>GM-14680</t>
  </si>
  <si>
    <t>Greg Matthias</t>
  </si>
  <si>
    <t>FUR-TA-10003238</t>
  </si>
  <si>
    <t>Chromcraft Bull-Nose Wood 48" x 96" Rectangular Conference Tables</t>
  </si>
  <si>
    <t>CA-2017-149146</t>
  </si>
  <si>
    <t>SM-20320</t>
  </si>
  <si>
    <t>Sean Miller</t>
  </si>
  <si>
    <t>Monroe</t>
  </si>
  <si>
    <t>28110</t>
  </si>
  <si>
    <t>OFF-PA-10003919</t>
  </si>
  <si>
    <t>Xerox 1989</t>
  </si>
  <si>
    <t>CA-2015-142944</t>
  </si>
  <si>
    <t>JL-15850</t>
  </si>
  <si>
    <t>John Lucas</t>
  </si>
  <si>
    <t>FUR-FU-10000308</t>
  </si>
  <si>
    <t>Deflect-o Glass Clear Studded Chair Mats</t>
  </si>
  <si>
    <t>CA-2014-157882</t>
  </si>
  <si>
    <t>AR-10405</t>
  </si>
  <si>
    <t>Allen Rosenblatt</t>
  </si>
  <si>
    <t>FUR-TA-10001866</t>
  </si>
  <si>
    <t>Bevis Round Conference Room Tables and Bases</t>
  </si>
  <si>
    <t>CA-2016-112676</t>
  </si>
  <si>
    <t>PJ-18835</t>
  </si>
  <si>
    <t>Patrick Jones</t>
  </si>
  <si>
    <t>OFF-PA-10003971</t>
  </si>
  <si>
    <t>Xerox 1965</t>
  </si>
  <si>
    <t>US-2017-112928</t>
  </si>
  <si>
    <t>Toledo</t>
  </si>
  <si>
    <t>43615</t>
  </si>
  <si>
    <t>OFF-AP-10002287</t>
  </si>
  <si>
    <t>Eureka Sanitaire  Multi-Pro Heavy-Duty Upright, Disposable Bags</t>
  </si>
  <si>
    <t>CA-2017-115154</t>
  </si>
  <si>
    <t>RS-19420</t>
  </si>
  <si>
    <t>Ricardo Sperren</t>
  </si>
  <si>
    <t>FUR-TA-10001950</t>
  </si>
  <si>
    <t>Balt Solid Wood Round Tables</t>
  </si>
  <si>
    <t>US-2017-120418</t>
  </si>
  <si>
    <t>BC-11125</t>
  </si>
  <si>
    <t>Becky Castell</t>
  </si>
  <si>
    <t>85345</t>
  </si>
  <si>
    <t>FUR-CH-10001394</t>
  </si>
  <si>
    <t>Global Leather Executive Chair</t>
  </si>
  <si>
    <t>CA-2017-152695</t>
  </si>
  <si>
    <t>CC-12220</t>
  </si>
  <si>
    <t>Chris Cortes</t>
  </si>
  <si>
    <t>Fairfield</t>
  </si>
  <si>
    <t>6824</t>
  </si>
  <si>
    <t>OFF-EN-10004030</t>
  </si>
  <si>
    <t>Convenience Packs of Business Envelopes</t>
  </si>
  <si>
    <t>CA-2017-155152</t>
  </si>
  <si>
    <t>MP-17965</t>
  </si>
  <si>
    <t>Michael Paige</t>
  </si>
  <si>
    <t>Rhode Island</t>
  </si>
  <si>
    <t>Warwick</t>
  </si>
  <si>
    <t>2886</t>
  </si>
  <si>
    <t>TEC-AC-10004353</t>
  </si>
  <si>
    <t>Hypercom P1300 Pinpad</t>
  </si>
  <si>
    <t>US-2015-127040</t>
  </si>
  <si>
    <t>SG-20605</t>
  </si>
  <si>
    <t>Speros Goranitis</t>
  </si>
  <si>
    <t>OFF-PA-10004255</t>
  </si>
  <si>
    <t>Xerox 219</t>
  </si>
  <si>
    <t>CA-2017-108574</t>
  </si>
  <si>
    <t>TEC-AC-10002049</t>
  </si>
  <si>
    <t>Logitech G19 Programmable Gaming Keyboard</t>
  </si>
  <si>
    <t>CA-2014-162684</t>
  </si>
  <si>
    <t>AS-10630</t>
  </si>
  <si>
    <t>Ann Steele</t>
  </si>
  <si>
    <t>19120</t>
  </si>
  <si>
    <t>OFF-FA-10000992</t>
  </si>
  <si>
    <t>Acco Clips to Go Binder Clips, 24 Clips in Two Sizes</t>
  </si>
  <si>
    <t>CA-2016-140207</t>
  </si>
  <si>
    <t>San Jose</t>
  </si>
  <si>
    <t>95123</t>
  </si>
  <si>
    <t>OFF-BI-10003963</t>
  </si>
  <si>
    <t>Cardinal Holdit Data Disk Pockets</t>
  </si>
  <si>
    <t>CA-2017-128755</t>
  </si>
  <si>
    <t>Newport News</t>
  </si>
  <si>
    <t>23602</t>
  </si>
  <si>
    <t>OFF-PA-10000726</t>
  </si>
  <si>
    <t>Black Print Carbonless Snap-Off Rapid Letter, 8 1/2" x 7"</t>
  </si>
  <si>
    <t>CA-2016-114972</t>
  </si>
  <si>
    <t>FUR-CH-10001190</t>
  </si>
  <si>
    <t>Global Deluxe High-Back Office Chair in Storm</t>
  </si>
  <si>
    <t>CA-2015-104514</t>
  </si>
  <si>
    <t>OFF-ST-10001837</t>
  </si>
  <si>
    <t>SAFCO Mobile Desk Side File, Wire Frame</t>
  </si>
  <si>
    <t>CA-2015-120397</t>
  </si>
  <si>
    <t>RB-19435</t>
  </si>
  <si>
    <t>Richard Bierner</t>
  </si>
  <si>
    <t>OFF-AP-10001293</t>
  </si>
  <si>
    <t>Belkin 8 Outlet Surge Protector</t>
  </si>
  <si>
    <t>CA-2017-163902</t>
  </si>
  <si>
    <t>MY-17380</t>
  </si>
  <si>
    <t>Maribeth Yedwab</t>
  </si>
  <si>
    <t>TEC-PH-10000675</t>
  </si>
  <si>
    <t>Panasonic KX TS3282B Corded phone</t>
  </si>
  <si>
    <t>CA-2017-123967</t>
  </si>
  <si>
    <t>Bellingham</t>
  </si>
  <si>
    <t>98226</t>
  </si>
  <si>
    <t>OFF-BI-10001308</t>
  </si>
  <si>
    <t>GBC Standard Plastic Binding Systems' Combs</t>
  </si>
  <si>
    <t>CA-2015-121041</t>
  </si>
  <si>
    <t>CS-12250</t>
  </si>
  <si>
    <t>Chris Selesnick</t>
  </si>
  <si>
    <t>Haltom City</t>
  </si>
  <si>
    <t>76117</t>
  </si>
  <si>
    <t>OFF-EN-10001137</t>
  </si>
  <si>
    <t>#10 Gummed Flap White Envelopes, 100/Box</t>
  </si>
  <si>
    <t>CA-2016-137729</t>
  </si>
  <si>
    <t>BF-11005</t>
  </si>
  <si>
    <t>Barry Franz</t>
  </si>
  <si>
    <t>OFF-ST-10001505</t>
  </si>
  <si>
    <t>Perma STOR-ALL Hanging File Box, 13 1/8"W x 12 1/4"D x 10 1/2"H</t>
  </si>
  <si>
    <t>CA-2016-154053</t>
  </si>
  <si>
    <t>OFF-AR-10003727</t>
  </si>
  <si>
    <t>Berol Giant Pencil Sharpener</t>
  </si>
  <si>
    <t>CA-2017-147942</t>
  </si>
  <si>
    <t>MS-17365</t>
  </si>
  <si>
    <t>Maribeth Schnelling</t>
  </si>
  <si>
    <t>OFF-LA-10003663</t>
  </si>
  <si>
    <t>Avery 498</t>
  </si>
  <si>
    <t>CA-2015-116750</t>
  </si>
  <si>
    <t>BF-10975</t>
  </si>
  <si>
    <t>Barbara Fisher</t>
  </si>
  <si>
    <t>Fayetteville</t>
  </si>
  <si>
    <t>28314</t>
  </si>
  <si>
    <t>FUR-FU-10003829</t>
  </si>
  <si>
    <t>Stackable Trays</t>
  </si>
  <si>
    <t>CA-2014-126403</t>
  </si>
  <si>
    <t>RR-19525</t>
  </si>
  <si>
    <t>Rick Reed</t>
  </si>
  <si>
    <t>OFF-PA-10001144</t>
  </si>
  <si>
    <t>Xerox 1913</t>
  </si>
  <si>
    <t>CA-2016-133123</t>
  </si>
  <si>
    <t>KB-16315</t>
  </si>
  <si>
    <t>Karl Braun</t>
  </si>
  <si>
    <t>Thomasville</t>
  </si>
  <si>
    <t>27360</t>
  </si>
  <si>
    <t>OFF-EN-10003055</t>
  </si>
  <si>
    <t>Blue String-Tie &amp; Button Interoffice Envelopes, 10 x 13</t>
  </si>
  <si>
    <t>US-2016-128195</t>
  </si>
  <si>
    <t>RA-19285</t>
  </si>
  <si>
    <t>Ralph Arnett</t>
  </si>
  <si>
    <t>OFF-BI-10002003</t>
  </si>
  <si>
    <t>Ibico Presentation Index for Binding Systems</t>
  </si>
  <si>
    <t>CA-2016-161662</t>
  </si>
  <si>
    <t>BE-11410</t>
  </si>
  <si>
    <t>Bobby Elias</t>
  </si>
  <si>
    <t>43130</t>
  </si>
  <si>
    <t>OFF-PA-10003465</t>
  </si>
  <si>
    <t>Xerox 1912</t>
  </si>
  <si>
    <t>CA-2017-132430</t>
  </si>
  <si>
    <t>CP-12085</t>
  </si>
  <si>
    <t>Cathy Prescott</t>
  </si>
  <si>
    <t>44107</t>
  </si>
  <si>
    <t>FUR-FU-10003577</t>
  </si>
  <si>
    <t>Nu-Dell Leatherette Frames</t>
  </si>
  <si>
    <t>CA-2014-127187</t>
  </si>
  <si>
    <t>TEC-PH-10000673</t>
  </si>
  <si>
    <t>Plantronics Voyager Pro HD - Bluetooth Headset</t>
  </si>
  <si>
    <t>CA-2014-153479</t>
  </si>
  <si>
    <t>DF-13135</t>
  </si>
  <si>
    <t>David Flashing</t>
  </si>
  <si>
    <t>OFF-LA-10004689</t>
  </si>
  <si>
    <t>Avery 512</t>
  </si>
  <si>
    <t>CA-2014-154669</t>
  </si>
  <si>
    <t>TM-21010</t>
  </si>
  <si>
    <t>Tamara Manning</t>
  </si>
  <si>
    <t>Vacaville</t>
  </si>
  <si>
    <t>95687</t>
  </si>
  <si>
    <t>OFF-ST-10000532</t>
  </si>
  <si>
    <t>Advantus Rolling Drawer Organizers</t>
  </si>
  <si>
    <t>US-2015-122140</t>
  </si>
  <si>
    <t>MO-17950</t>
  </si>
  <si>
    <t>Michael Oakman</t>
  </si>
  <si>
    <t>75220</t>
  </si>
  <si>
    <t>OFF-AP-10001242</t>
  </si>
  <si>
    <t>APC 7 Outlet Network SurgeArrest Surge Protector</t>
  </si>
  <si>
    <t>CA-2016-163986</t>
  </si>
  <si>
    <t>JJ-15445</t>
  </si>
  <si>
    <t>Jennifer Jackson</t>
  </si>
  <si>
    <t>Waukesha</t>
  </si>
  <si>
    <t>53186</t>
  </si>
  <si>
    <t>OFF-ST-10000918</t>
  </si>
  <si>
    <t>Crate-A-Files</t>
  </si>
  <si>
    <t>US-2016-106677</t>
  </si>
  <si>
    <t>TEC-PH-10003187</t>
  </si>
  <si>
    <t>Anker Astro Mini 3000mAh Ultra-Compact Portable Charger</t>
  </si>
  <si>
    <t>US-2015-110163</t>
  </si>
  <si>
    <t>OFF-AR-10001683</t>
  </si>
  <si>
    <t>Lumber Crayons</t>
  </si>
  <si>
    <t>CA-2015-122623</t>
  </si>
  <si>
    <t>CC-12145</t>
  </si>
  <si>
    <t>Charles Crestani</t>
  </si>
  <si>
    <t>El Paso</t>
  </si>
  <si>
    <t>79907</t>
  </si>
  <si>
    <t>FUR-CH-10000553</t>
  </si>
  <si>
    <t>Metal Folding Chairs, Beige, 4/Carton</t>
  </si>
  <si>
    <t>CA-2014-148915</t>
  </si>
  <si>
    <t>OFF-ST-10001128</t>
  </si>
  <si>
    <t>Carina Mini System Audio Rack, Model AR050B</t>
  </si>
  <si>
    <t>US-2015-104185</t>
  </si>
  <si>
    <t>OFF-ST-10001526</t>
  </si>
  <si>
    <t>Iceberg Mobile Mega Data/Printer Cart</t>
  </si>
  <si>
    <t>CA-2017-164049</t>
  </si>
  <si>
    <t>OFF-PA-10000791</t>
  </si>
  <si>
    <t>Wirebound Message Books, Four 2 3/4 x 5 Forms per Page, 200 Sets per Book</t>
  </si>
  <si>
    <t>US-2016-164630</t>
  </si>
  <si>
    <t>EB-13975</t>
  </si>
  <si>
    <t>Erica Bern</t>
  </si>
  <si>
    <t>TEC-CO-10000971</t>
  </si>
  <si>
    <t>Hewlett Packard 310 Color Digital Copier</t>
  </si>
  <si>
    <t>CA-2017-121615</t>
  </si>
  <si>
    <t>DL-12925</t>
  </si>
  <si>
    <t>Daniel Lacy</t>
  </si>
  <si>
    <t>Eagan</t>
  </si>
  <si>
    <t>55122</t>
  </si>
  <si>
    <t>OFF-PA-10000327</t>
  </si>
  <si>
    <t>Xerox 1971</t>
  </si>
  <si>
    <t>CA-2014-157721</t>
  </si>
  <si>
    <t>JM-16195</t>
  </si>
  <si>
    <t>Justin MacKendrick</t>
  </si>
  <si>
    <t>Watertown</t>
  </si>
  <si>
    <t>13601</t>
  </si>
  <si>
    <t>OFF-AP-10001303</t>
  </si>
  <si>
    <t>Holmes Cool Mist Humidifier for the Whole House with 8-Gallon Output per Day, Extended Life Filter</t>
  </si>
  <si>
    <t>US-2016-169040</t>
  </si>
  <si>
    <t>GT-14710</t>
  </si>
  <si>
    <t>Greg Tran</t>
  </si>
  <si>
    <t>TEC-PH-10002310</t>
  </si>
  <si>
    <t>Plantronics Calisto P620-M USB Wireless Speakerphone System</t>
  </si>
  <si>
    <t>CA-2017-168900</t>
  </si>
  <si>
    <t>SH-20395</t>
  </si>
  <si>
    <t>Shahid Hopkins</t>
  </si>
  <si>
    <t>OFF-BI-10003910</t>
  </si>
  <si>
    <t>DXL Angle-View Binders with Locking Rings by Samsill</t>
  </si>
  <si>
    <t>CA-2017-139773</t>
  </si>
  <si>
    <t>DV-13045</t>
  </si>
  <si>
    <t>Darrin Van Huff</t>
  </si>
  <si>
    <t>FUR-CH-10001797</t>
  </si>
  <si>
    <t>Safco Chair Connectors, 6/Carton</t>
  </si>
  <si>
    <t>CA-2017-134607</t>
  </si>
  <si>
    <t>OFF-ST-10002214</t>
  </si>
  <si>
    <t>X-Rack File for Hanging Folders</t>
  </si>
  <si>
    <t>CA-2015-130610</t>
  </si>
  <si>
    <t>VP-21730</t>
  </si>
  <si>
    <t>Victor Preis</t>
  </si>
  <si>
    <t>Sterling Heights</t>
  </si>
  <si>
    <t>48310</t>
  </si>
  <si>
    <t>OFF-BI-10003655</t>
  </si>
  <si>
    <t>Durable Pressboard Binders</t>
  </si>
  <si>
    <t>CA-2016-131499</t>
  </si>
  <si>
    <t>MG-17875</t>
  </si>
  <si>
    <t>Michael Grace</t>
  </si>
  <si>
    <t>OFF-AP-10003779</t>
  </si>
  <si>
    <t>Kensington 7 Outlet MasterPiece Power Center with Fax/Phone Line Protection</t>
  </si>
  <si>
    <t>CA-2016-124772</t>
  </si>
  <si>
    <t>JG-15160</t>
  </si>
  <si>
    <t>James Galang</t>
  </si>
  <si>
    <t>FUR-FU-10004748</t>
  </si>
  <si>
    <t>Howard Miller 16" Diameter Gallery Wall Clock</t>
  </si>
  <si>
    <t>CA-2017-149559</t>
  </si>
  <si>
    <t>KF-16285</t>
  </si>
  <si>
    <t>Karen Ferguson</t>
  </si>
  <si>
    <t>Long Beach</t>
  </si>
  <si>
    <t>90805</t>
  </si>
  <si>
    <t>OFF-PA-10003172</t>
  </si>
  <si>
    <t>Xerox 1996</t>
  </si>
  <si>
    <t>CA-2017-125290</t>
  </si>
  <si>
    <t>OFF-AR-10001216</t>
  </si>
  <si>
    <t>Newell 339</t>
  </si>
  <si>
    <t>US-2017-148054</t>
  </si>
  <si>
    <t>NZ-18565</t>
  </si>
  <si>
    <t>Nick Zandusky</t>
  </si>
  <si>
    <t>Idaho</t>
  </si>
  <si>
    <t>Meridian</t>
  </si>
  <si>
    <t>83642</t>
  </si>
  <si>
    <t>FUR-FU-10003247</t>
  </si>
  <si>
    <t>36X48 HARDFLOOR CHAIRMAT</t>
  </si>
  <si>
    <t>CA-2017-127621</t>
  </si>
  <si>
    <t>RE-19450</t>
  </si>
  <si>
    <t>Richard Eichhorn</t>
  </si>
  <si>
    <t>OFF-PA-10001307</t>
  </si>
  <si>
    <t>Important Message Pads, 50 4-1/4 x 5-1/2 Forms per Pad</t>
  </si>
  <si>
    <t>CA-2016-124562</t>
  </si>
  <si>
    <t>JP-16135</t>
  </si>
  <si>
    <t>Julie Prescott</t>
  </si>
  <si>
    <t>OFF-BI-10001267</t>
  </si>
  <si>
    <t>Universal Recycled Hanging Pressboard Report Binders, Letter Size</t>
  </si>
  <si>
    <t>CA-2017-147564</t>
  </si>
  <si>
    <t>BP-11155</t>
  </si>
  <si>
    <t>Becky Pak</t>
  </si>
  <si>
    <t>OFF-PA-10004438</t>
  </si>
  <si>
    <t>Xerox 1907</t>
  </si>
  <si>
    <t>CA-2017-122280</t>
  </si>
  <si>
    <t>OFF-PA-10004911</t>
  </si>
  <si>
    <t>Rediform S.O.S. 1-Up Phone Message Bk, 4-1/4x3-1/16 Bk, 1 Form/Pg, 40 Messages/Bk, 3/Pk</t>
  </si>
  <si>
    <t>CA-2017-152912</t>
  </si>
  <si>
    <t>BM-11650</t>
  </si>
  <si>
    <t>Brian Moss</t>
  </si>
  <si>
    <t>21044</t>
  </si>
  <si>
    <t>OFF-BI-10004728</t>
  </si>
  <si>
    <t>Wilson Jones Turn Tabs Binder Tool for Ring Binders</t>
  </si>
  <si>
    <t>CA-2017-123981</t>
  </si>
  <si>
    <t>RW-19630</t>
  </si>
  <si>
    <t>Rob Williams</t>
  </si>
  <si>
    <t>TEC-PH-10002115</t>
  </si>
  <si>
    <t>Plantronics 81402</t>
  </si>
  <si>
    <t>CA-2017-158953</t>
  </si>
  <si>
    <t>ML-18040</t>
  </si>
  <si>
    <t>Michelle Lonsdale</t>
  </si>
  <si>
    <t>Missouri City</t>
  </si>
  <si>
    <t>77489</t>
  </si>
  <si>
    <t>OFF-BI-10002557</t>
  </si>
  <si>
    <t>Presstex Flexible Ring Binders</t>
  </si>
  <si>
    <t>CA-2015-149384</t>
  </si>
  <si>
    <t>EH-13945</t>
  </si>
  <si>
    <t>Eric Hoffmann</t>
  </si>
  <si>
    <t>Tempe</t>
  </si>
  <si>
    <t>85281</t>
  </si>
  <si>
    <t>OFF-BI-10003196</t>
  </si>
  <si>
    <t>Accohide Poly Flexible Ring Binders</t>
  </si>
  <si>
    <t>CA-2014-131527</t>
  </si>
  <si>
    <t>TB-21280</t>
  </si>
  <si>
    <t>Toby Braunhardt</t>
  </si>
  <si>
    <t>TEC-PH-10001644</t>
  </si>
  <si>
    <t>BlueLounge Milo Smartphone Stand, White/Metallic</t>
  </si>
  <si>
    <t>CA-2017-150189</t>
  </si>
  <si>
    <t>VG-21790</t>
  </si>
  <si>
    <t>Vivek Gonzalez</t>
  </si>
  <si>
    <t>San Mateo</t>
  </si>
  <si>
    <t>94403</t>
  </si>
  <si>
    <t>OFF-LA-10002762</t>
  </si>
  <si>
    <t>Avery 485</t>
  </si>
  <si>
    <t>CA-2017-131625</t>
  </si>
  <si>
    <t>BN-11515</t>
  </si>
  <si>
    <t>Bradley Nguyen</t>
  </si>
  <si>
    <t>FUR-FU-10004960</t>
  </si>
  <si>
    <t>Seth Thomas 12" Clock w/ Goldtone Case</t>
  </si>
  <si>
    <t>CA-2017-113355</t>
  </si>
  <si>
    <t>SJ-20215</t>
  </si>
  <si>
    <t>Sarah Jordon</t>
  </si>
  <si>
    <t>Grand Prairie</t>
  </si>
  <si>
    <t>75051</t>
  </si>
  <si>
    <t>TEC-PH-10004912</t>
  </si>
  <si>
    <t>Cisco SPA112 2 Port Phone Adapter</t>
  </si>
  <si>
    <t>CA-2017-113418</t>
  </si>
  <si>
    <t>TEC-MA-10002428</t>
  </si>
  <si>
    <t>Fellowes Powershred HS-440 4-Sheet High Security Shredder</t>
  </si>
  <si>
    <t>CA-2017-154732</t>
  </si>
  <si>
    <t>AH-10195</t>
  </si>
  <si>
    <t>Alan Haines</t>
  </si>
  <si>
    <t>OFF-BI-10000474</t>
  </si>
  <si>
    <t>Avery Recycled Flexi-View Covers for Binding Systems</t>
  </si>
  <si>
    <t>CA-2015-161718</t>
  </si>
  <si>
    <t>SO-20335</t>
  </si>
  <si>
    <t>Sean O'Donnell</t>
  </si>
  <si>
    <t>Hempstead</t>
  </si>
  <si>
    <t>11550</t>
  </si>
  <si>
    <t>FUR-FU-10002445</t>
  </si>
  <si>
    <t>DAX Two-Tone Rosewood/Black Document Frame, Desktop, 5 x 7</t>
  </si>
  <si>
    <t>CA-2016-100671</t>
  </si>
  <si>
    <t>CS-12490</t>
  </si>
  <si>
    <t>Cindy Schnelling</t>
  </si>
  <si>
    <t>Conroe</t>
  </si>
  <si>
    <t>77301</t>
  </si>
  <si>
    <t>OFF-ST-10004950</t>
  </si>
  <si>
    <t>Tenex Personal Filing Tote With Secure Closure Lid, Black/Frost</t>
  </si>
  <si>
    <t>US-2017-131583</t>
  </si>
  <si>
    <t>CL-11890</t>
  </si>
  <si>
    <t>Carl Ludwig</t>
  </si>
  <si>
    <t>OFF-PA-10000380</t>
  </si>
  <si>
    <t>REDIFORM Incoming/Outgoing Call Register, 11" X 8 1/2", 100 Messages</t>
  </si>
  <si>
    <t>CA-2016-116540</t>
  </si>
  <si>
    <t>SS-20590</t>
  </si>
  <si>
    <t>Sonia Sunley</t>
  </si>
  <si>
    <t>OFF-FA-10002676</t>
  </si>
  <si>
    <t>Colored Push Pins</t>
  </si>
  <si>
    <t>US-2017-111024</t>
  </si>
  <si>
    <t>SZ-20035</t>
  </si>
  <si>
    <t>Sam Zeldin</t>
  </si>
  <si>
    <t>OFF-PA-10000174</t>
  </si>
  <si>
    <t>Message Book, Wirebound, Four 5 1/2" X 4" Forms/Pg., 200 Dupl. Sets/Book</t>
  </si>
  <si>
    <t>CA-2017-148264</t>
  </si>
  <si>
    <t>Inglewood</t>
  </si>
  <si>
    <t>90301</t>
  </si>
  <si>
    <t>OFF-ST-10003327</t>
  </si>
  <si>
    <t>Akro-Mils 12-Gallon Tote</t>
  </si>
  <si>
    <t>CA-2017-131212</t>
  </si>
  <si>
    <t>AB-10165</t>
  </si>
  <si>
    <t>Alan Barnes</t>
  </si>
  <si>
    <t>Bellevue</t>
  </si>
  <si>
    <t>98006</t>
  </si>
  <si>
    <t>OFF-BI-10001617</t>
  </si>
  <si>
    <t>GBC Wire Binding Combs</t>
  </si>
  <si>
    <t>CA-2017-140326</t>
  </si>
  <si>
    <t>HW-14935</t>
  </si>
  <si>
    <t>Helen Wasserman</t>
  </si>
  <si>
    <t>FUR-BO-10000112</t>
  </si>
  <si>
    <t>Bush Birmingham Collection Bookcase, Dark Cherry</t>
  </si>
  <si>
    <t>US-2016-113649</t>
  </si>
  <si>
    <t>HA-14920</t>
  </si>
  <si>
    <t>Helen Andreada</t>
  </si>
  <si>
    <t>OFF-PA-10000130</t>
  </si>
  <si>
    <t>Xerox 199</t>
  </si>
  <si>
    <t>CA-2017-118542</t>
  </si>
  <si>
    <t>CC-12550</t>
  </si>
  <si>
    <t>Clay Cheatham</t>
  </si>
  <si>
    <t>OFF-PA-10004735</t>
  </si>
  <si>
    <t>Xerox 1905</t>
  </si>
  <si>
    <t>CA-2017-152737</t>
  </si>
  <si>
    <t>TS-21505</t>
  </si>
  <si>
    <t>Tony Sayre</t>
  </si>
  <si>
    <t>OFF-BI-10002982</t>
  </si>
  <si>
    <t>Avery Self-Adhesive Photo Pockets for Polaroid Photos</t>
  </si>
  <si>
    <t>CA-2016-130029</t>
  </si>
  <si>
    <t>GT-14755</t>
  </si>
  <si>
    <t>Guy Thornton</t>
  </si>
  <si>
    <t>OFF-PA-10000552</t>
  </si>
  <si>
    <t>Xerox 200</t>
  </si>
  <si>
    <t>CA-2017-109960</t>
  </si>
  <si>
    <t>DB-13210</t>
  </si>
  <si>
    <t>Dean Braden</t>
  </si>
  <si>
    <t>48234</t>
  </si>
  <si>
    <t>TEC-AC-10004859</t>
  </si>
  <si>
    <t>Maxell Pro 80 Minute CD-R, 10/Pack</t>
  </si>
  <si>
    <t>US-2017-129777</t>
  </si>
  <si>
    <t>FM-14290</t>
  </si>
  <si>
    <t>Frank Merwin</t>
  </si>
  <si>
    <t>Quincy</t>
  </si>
  <si>
    <t>2169</t>
  </si>
  <si>
    <t>TEC-AC-10003590</t>
  </si>
  <si>
    <t>TRENDnet 56K USB 2.0 Phone, Internet and Fax Modem</t>
  </si>
  <si>
    <t>CA-2016-165169</t>
  </si>
  <si>
    <t>JL-15235</t>
  </si>
  <si>
    <t>Janet Lee</t>
  </si>
  <si>
    <t>OFF-ST-10001496</t>
  </si>
  <si>
    <t>Standard Rollaway File with Lock</t>
  </si>
  <si>
    <t>CA-2017-168193</t>
  </si>
  <si>
    <t>RM-19750</t>
  </si>
  <si>
    <t>Roland Murray</t>
  </si>
  <si>
    <t>OFF-PA-10002254</t>
  </si>
  <si>
    <t>Xerox 1883</t>
  </si>
  <si>
    <t>CA-2014-115357</t>
  </si>
  <si>
    <t>TEC-AC-10000023</t>
  </si>
  <si>
    <t>Maxell 74 Minute CD-R Spindle, 50/Pack</t>
  </si>
  <si>
    <t>CA-2017-147753</t>
  </si>
  <si>
    <t>OFF-LA-10003537</t>
  </si>
  <si>
    <t>Avery 515</t>
  </si>
  <si>
    <t>US-2017-131849</t>
  </si>
  <si>
    <t>GH-14410</t>
  </si>
  <si>
    <t>Gary Hansen</t>
  </si>
  <si>
    <t>FUR-FU-10004164</t>
  </si>
  <si>
    <t>Eldon 300 Class Desk Accessories, Black</t>
  </si>
  <si>
    <t>CA-2014-135755</t>
  </si>
  <si>
    <t>NC-18415</t>
  </si>
  <si>
    <t>Nathan Cano</t>
  </si>
  <si>
    <t>Yonkers</t>
  </si>
  <si>
    <t>10701</t>
  </si>
  <si>
    <t>OFF-BI-10004828</t>
  </si>
  <si>
    <t>GBC Poly Designer Binding Covers</t>
  </si>
  <si>
    <t>CA-2016-167759</t>
  </si>
  <si>
    <t>Bloomington</t>
  </si>
  <si>
    <t>47401</t>
  </si>
  <si>
    <t>TEC-PH-10003171</t>
  </si>
  <si>
    <t>Plantronics Encore H101 Dual Earpieces Headset</t>
  </si>
  <si>
    <t>CA-2014-100895</t>
  </si>
  <si>
    <t>SV-20785</t>
  </si>
  <si>
    <t>Stewart Visinsky</t>
  </si>
  <si>
    <t>Roswell</t>
  </si>
  <si>
    <t>30076</t>
  </si>
  <si>
    <t>OFF-AR-10004511</t>
  </si>
  <si>
    <t>Sanford Colorific Scented Colored Pencils, 12/Pack</t>
  </si>
  <si>
    <t>CA-2017-110212</t>
  </si>
  <si>
    <t>SJ-20125</t>
  </si>
  <si>
    <t>Sanjit Jacobs</t>
  </si>
  <si>
    <t>Arkansas</t>
  </si>
  <si>
    <t>Texarkana</t>
  </si>
  <si>
    <t>71854</t>
  </si>
  <si>
    <t>TEC-AC-10002331</t>
  </si>
  <si>
    <t>Maxell 74 Minute CDR, 10/Pack</t>
  </si>
  <si>
    <t>CA-2017-157980</t>
  </si>
  <si>
    <t>TEC-AC-10002567</t>
  </si>
  <si>
    <t>Logitech G602 Wireless Gaming Mouse</t>
  </si>
  <si>
    <t>CA-2017-126788</t>
  </si>
  <si>
    <t>AB-10105</t>
  </si>
  <si>
    <t>Adrian Barton</t>
  </si>
  <si>
    <t>Pearland</t>
  </si>
  <si>
    <t>77581</t>
  </si>
  <si>
    <t>TEC-PH-10001619</t>
  </si>
  <si>
    <t>LG G3</t>
  </si>
  <si>
    <t>US-2016-151862</t>
  </si>
  <si>
    <t>ON-18715</t>
  </si>
  <si>
    <t>Odella Nelson</t>
  </si>
  <si>
    <t>TEC-PH-10003535</t>
  </si>
  <si>
    <t>RCA ViSYS 25423RE1 Corded phone</t>
  </si>
  <si>
    <t>CA-2017-101308</t>
  </si>
  <si>
    <t>FG-14260</t>
  </si>
  <si>
    <t>Frank Gastineau</t>
  </si>
  <si>
    <t>OFF-FA-10002780</t>
  </si>
  <si>
    <t>CA-2017-144463</t>
  </si>
  <si>
    <t>SC-20725</t>
  </si>
  <si>
    <t>Steven Cartwright</t>
  </si>
  <si>
    <t>FUR-FU-10001215</t>
  </si>
  <si>
    <t>Howard Miller 11-1/2" Diameter Brentwood Wall Clock</t>
  </si>
  <si>
    <t>CA-2017-163692</t>
  </si>
  <si>
    <t>Dp-13240</t>
  </si>
  <si>
    <t>Dean percer</t>
  </si>
  <si>
    <t>OFF-BI-10003291</t>
  </si>
  <si>
    <t>Wilson Jones Leather-Like Binders with DublLock Round Rings</t>
  </si>
  <si>
    <t>CA-2016-111913</t>
  </si>
  <si>
    <t>LC-16930</t>
  </si>
  <si>
    <t>Linda Cazamias</t>
  </si>
  <si>
    <t>Sacramento</t>
  </si>
  <si>
    <t>95823</t>
  </si>
  <si>
    <t>TEC-PH-10002275</t>
  </si>
  <si>
    <t>Mitel 5320 IP Phone VoIP phone</t>
  </si>
  <si>
    <t>CA-2017-117394</t>
  </si>
  <si>
    <t>MM-17920</t>
  </si>
  <si>
    <t>Michael Moore</t>
  </si>
  <si>
    <t>TEC-AC-10000199</t>
  </si>
  <si>
    <t>Kingston Digital DataTraveler 8GB USB 2.0</t>
  </si>
  <si>
    <t>CA-2017-156769</t>
  </si>
  <si>
    <t>22204</t>
  </si>
  <si>
    <t>OFF-AR-10003179</t>
  </si>
  <si>
    <t>Dixon Ticonderoga Core-Lock Colored Pencils</t>
  </si>
  <si>
    <t>CA-2017-105914</t>
  </si>
  <si>
    <t>PV-18985</t>
  </si>
  <si>
    <t>Paul Van Hugh</t>
  </si>
  <si>
    <t>OFF-BI-10002854</t>
  </si>
  <si>
    <t>Performers Binder/Pad Holder, Black</t>
  </si>
  <si>
    <t>CA-2014-126907</t>
  </si>
  <si>
    <t>SM-20950</t>
  </si>
  <si>
    <t>Suzanne McNair</t>
  </si>
  <si>
    <t>OFF-PA-10000533</t>
  </si>
  <si>
    <t>Southworth Parchment Paper &amp; Envelopes</t>
  </si>
  <si>
    <t>CA-2016-152163</t>
  </si>
  <si>
    <t>JF-15355</t>
  </si>
  <si>
    <t>Jay Fein</t>
  </si>
  <si>
    <t>OFF-BI-10002215</t>
  </si>
  <si>
    <t>Wilson Jones Hanging View Binder, White, 1"</t>
  </si>
  <si>
    <t>CA-2016-143749</t>
  </si>
  <si>
    <t>AG-10300</t>
  </si>
  <si>
    <t>Aleksandra Gannaway</t>
  </si>
  <si>
    <t>2038</t>
  </si>
  <si>
    <t>FUR-BO-10002853</t>
  </si>
  <si>
    <t>O'Sullivan 5-Shelf Heavy-Duty Bookcases</t>
  </si>
  <si>
    <t>CA-2015-129392</t>
  </si>
  <si>
    <t>DM-13015</t>
  </si>
  <si>
    <t>Darrin Martin</t>
  </si>
  <si>
    <t>OFF-PA-10004248</t>
  </si>
  <si>
    <t>Xerox 1990</t>
  </si>
  <si>
    <t>US-2016-161683</t>
  </si>
  <si>
    <t>OFF-AP-10000179</t>
  </si>
  <si>
    <t>Honeywell Enviracaire Portable HEPA Air Cleaner for up to 10 x 16 Room</t>
  </si>
  <si>
    <t>CA-2016-164637</t>
  </si>
  <si>
    <t>RD-19480</t>
  </si>
  <si>
    <t>Rick Duston</t>
  </si>
  <si>
    <t>Mishawaka</t>
  </si>
  <si>
    <t>46544</t>
  </si>
  <si>
    <t>OFF-BI-10003876</t>
  </si>
  <si>
    <t>Green Canvas Binder for 8-1/2" x 14" Sheets</t>
  </si>
  <si>
    <t>CA-2017-149881</t>
  </si>
  <si>
    <t>NC-18535</t>
  </si>
  <si>
    <t>Nick Crebassa</t>
  </si>
  <si>
    <t>FUR-BO-10003894</t>
  </si>
  <si>
    <t>Safco Value Mate Steel Bookcase, Baked Enamel Finish on Steel, Black</t>
  </si>
  <si>
    <t>CA-2016-159142</t>
  </si>
  <si>
    <t>ME-17320</t>
  </si>
  <si>
    <t>Maria Etezadi</t>
  </si>
  <si>
    <t>TEC-PH-10001448</t>
  </si>
  <si>
    <t>Anker Astro 15000mAh USB Portable Charger</t>
  </si>
  <si>
    <t>CA-2017-110429</t>
  </si>
  <si>
    <t>OFF-BI-10000216</t>
  </si>
  <si>
    <t>Mead 1st Gear 2" Zipper Binder, Asst. Colors</t>
  </si>
  <si>
    <t>CA-2014-123127</t>
  </si>
  <si>
    <t>SP-20620</t>
  </si>
  <si>
    <t>Stefania Perrino</t>
  </si>
  <si>
    <t>11561</t>
  </si>
  <si>
    <t>OFF-AP-10001962</t>
  </si>
  <si>
    <t>Black &amp; Decker Filter for Double Action Dustbuster Cordless Vac BLDV7210</t>
  </si>
  <si>
    <t>US-2017-136189</t>
  </si>
  <si>
    <t>DC-13285</t>
  </si>
  <si>
    <t>Debra Catini</t>
  </si>
  <si>
    <t>23223</t>
  </si>
  <si>
    <t>FUR-FU-10000175</t>
  </si>
  <si>
    <t>DAX Wood Document Frame.</t>
  </si>
  <si>
    <t>CA-2017-149853</t>
  </si>
  <si>
    <t>PO-18850</t>
  </si>
  <si>
    <t>Patrick O'Brill</t>
  </si>
  <si>
    <t>OFF-PA-10000556</t>
  </si>
  <si>
    <t>Xerox 208</t>
  </si>
  <si>
    <t>CA-2017-107748</t>
  </si>
  <si>
    <t>AG-10330</t>
  </si>
  <si>
    <t>Alex Grayson</t>
  </si>
  <si>
    <t>Stockton</t>
  </si>
  <si>
    <t>95207</t>
  </si>
  <si>
    <t>TEC-PH-10003215</t>
  </si>
  <si>
    <t>Jackery Bar Premium Fast-charging Portable Charger</t>
  </si>
  <si>
    <t>CA-2017-156895</t>
  </si>
  <si>
    <t>FUR-CH-10003535</t>
  </si>
  <si>
    <t>Global Armless Task Chair, Royal Blue</t>
  </si>
  <si>
    <t>CA-2016-109365</t>
  </si>
  <si>
    <t>OFF-FA-10001561</t>
  </si>
  <si>
    <t>Stockwell Push Pins</t>
  </si>
  <si>
    <t>CA-2014-150798</t>
  </si>
  <si>
    <t>JK-15730</t>
  </si>
  <si>
    <t>Joe Kamberova</t>
  </si>
  <si>
    <t>TEC-CO-10001571</t>
  </si>
  <si>
    <t>Sharp 1540cs Digital Laser Copier</t>
  </si>
  <si>
    <t>CA-2017-138464</t>
  </si>
  <si>
    <t>VF-21715</t>
  </si>
  <si>
    <t>Vicky Freymann</t>
  </si>
  <si>
    <t>FUR-FU-10003142</t>
  </si>
  <si>
    <t>Master Big Foot Doorstop, Beige</t>
  </si>
  <si>
    <t>CA-2015-159863</t>
  </si>
  <si>
    <t>DS-13180</t>
  </si>
  <si>
    <t>David Smith</t>
  </si>
  <si>
    <t>TEC-AC-10000109</t>
  </si>
  <si>
    <t>Sony Micro Vault Click 16 GB USB 2.0 Flash Drive</t>
  </si>
  <si>
    <t>CA-2015-112130</t>
  </si>
  <si>
    <t>OFF-AR-10001468</t>
  </si>
  <si>
    <t>Sanford Prismacolor Professional Thick Lead Art Pencils, 36-Color Set</t>
  </si>
  <si>
    <t>US-2017-133200</t>
  </si>
  <si>
    <t>DB-13555</t>
  </si>
  <si>
    <t>Dorothy Badders</t>
  </si>
  <si>
    <t>OFF-BI-10002827</t>
  </si>
  <si>
    <t>Avery Durable Poly Binders</t>
  </si>
  <si>
    <t>CA-2014-106229</t>
  </si>
  <si>
    <t>NR-18550</t>
  </si>
  <si>
    <t>Nick Radford</t>
  </si>
  <si>
    <t>Aurora</t>
  </si>
  <si>
    <t>60505</t>
  </si>
  <si>
    <t>FUR-TA-10002041</t>
  </si>
  <si>
    <t>Bevis Round Conference Table Top, X-Base</t>
  </si>
  <si>
    <t>CA-2016-120530</t>
  </si>
  <si>
    <t>FUR-CH-10000454</t>
  </si>
  <si>
    <t>Hon Deluxe Fabric Upholstered Stacking Chairs, Rounded Back</t>
  </si>
  <si>
    <t>CA-2017-158883</t>
  </si>
  <si>
    <t>CS-11860</t>
  </si>
  <si>
    <t>Cari Schnelling</t>
  </si>
  <si>
    <t>OFF-PA-10004733</t>
  </si>
  <si>
    <t>Things To Do Today Spiral Book</t>
  </si>
  <si>
    <t>CA-2015-140025</t>
  </si>
  <si>
    <t>PF-19120</t>
  </si>
  <si>
    <t>Peter Fuller</t>
  </si>
  <si>
    <t>OFF-AP-10002651</t>
  </si>
  <si>
    <t>Hoover Upright Vacuum With Dirt Cup</t>
  </si>
  <si>
    <t>CA-2017-106831</t>
  </si>
  <si>
    <t>FH-14350</t>
  </si>
  <si>
    <t>Fred Harton</t>
  </si>
  <si>
    <t>Dublin</t>
  </si>
  <si>
    <t>43017</t>
  </si>
  <si>
    <t>OFF-BI-10003429</t>
  </si>
  <si>
    <t>Cardinal HOLDit! Binder Insert Strips,Extra Strips</t>
  </si>
  <si>
    <t>CA-2014-132864</t>
  </si>
  <si>
    <t>KN-16390</t>
  </si>
  <si>
    <t>Katherine Nockton</t>
  </si>
  <si>
    <t>TEC-AC-10001267</t>
  </si>
  <si>
    <t>Imation 32GB Pocket Pro USB 3.0 Flash Drive - 32 GB - Black - 1 P ...</t>
  </si>
  <si>
    <t>CA-2017-143567</t>
  </si>
  <si>
    <t>TB-21175</t>
  </si>
  <si>
    <t>Thomas Boland</t>
  </si>
  <si>
    <t>OFF-EN-10004846</t>
  </si>
  <si>
    <t>Letter or Legal Size Expandable Poly String Tie Envelopes</t>
  </si>
  <si>
    <t>CA-2017-117926</t>
  </si>
  <si>
    <t>OFF-AP-10002670</t>
  </si>
  <si>
    <t>Belkin 8-Outlet Premiere SurgeMaster II Surge Protectors</t>
  </si>
  <si>
    <t>CA-2014-125171</t>
  </si>
  <si>
    <t>AG-10390</t>
  </si>
  <si>
    <t>Allen Goldenen</t>
  </si>
  <si>
    <t>OFF-LA-10001175</t>
  </si>
  <si>
    <t>Avery 514</t>
  </si>
  <si>
    <t>CA-2017-159688</t>
  </si>
  <si>
    <t>AB-10060</t>
  </si>
  <si>
    <t>Adam Bellavance</t>
  </si>
  <si>
    <t>TEC-AC-10000736</t>
  </si>
  <si>
    <t>Logitech G600 MMO Gaming Mouse</t>
  </si>
  <si>
    <t>CA-2016-155033</t>
  </si>
  <si>
    <t>CC-12475</t>
  </si>
  <si>
    <t>Cindy Chapman</t>
  </si>
  <si>
    <t>OFF-PA-10000143</t>
  </si>
  <si>
    <t>Astroparche Fine Business Paper</t>
  </si>
  <si>
    <t>CA-2015-134922</t>
  </si>
  <si>
    <t>OFF-EN-10000483</t>
  </si>
  <si>
    <t>White Envelopes, White Envelopes with Clear Poly Window</t>
  </si>
  <si>
    <t>CA-2015-162166</t>
  </si>
  <si>
    <t>Moreno Valley</t>
  </si>
  <si>
    <t>92553</t>
  </si>
  <si>
    <t>OFF-PA-10002606</t>
  </si>
  <si>
    <t>Xerox 1928</t>
  </si>
  <si>
    <t>CA-2015-109001</t>
  </si>
  <si>
    <t>TEC-PH-10000562</t>
  </si>
  <si>
    <t>Samsung Convoy 3</t>
  </si>
  <si>
    <t>CA-2017-132738</t>
  </si>
  <si>
    <t>HM-14860</t>
  </si>
  <si>
    <t>Harry Marie</t>
  </si>
  <si>
    <t>Loveland</t>
  </si>
  <si>
    <t>80538</t>
  </si>
  <si>
    <t>OFF-PA-10001752</t>
  </si>
  <si>
    <t>Hammermill CopyPlus Copy Paper (20Lb. and 84 Bright)</t>
  </si>
  <si>
    <t>CA-2015-154886</t>
  </si>
  <si>
    <t>TEC-AC-10001956</t>
  </si>
  <si>
    <t>Microsoft Arc Touch Mouse</t>
  </si>
  <si>
    <t>US-2017-141943</t>
  </si>
  <si>
    <t>OFF-EN-10003448</t>
  </si>
  <si>
    <t>Peel &amp; Seel Recycled Catalog Envelopes, Brown</t>
  </si>
  <si>
    <t>CA-2016-103982</t>
  </si>
  <si>
    <t>Round Rock</t>
  </si>
  <si>
    <t>78664</t>
  </si>
  <si>
    <t>OFF-SU-10000151</t>
  </si>
  <si>
    <t>High Speed Automatic Electric Letter Opener</t>
  </si>
  <si>
    <t>CA-2016-156265</t>
  </si>
  <si>
    <t>BF-11020</t>
  </si>
  <si>
    <t>Barry Französisch</t>
  </si>
  <si>
    <t>FUR-TA-10001691</t>
  </si>
  <si>
    <t>Barricks Non-Folding Utility Table with Steel Legs, Laminate Tops</t>
  </si>
  <si>
    <t>CA-2017-144484</t>
  </si>
  <si>
    <t>CB-12025</t>
  </si>
  <si>
    <t>Cassandra Brandow</t>
  </si>
  <si>
    <t>FUR-FU-10000260</t>
  </si>
  <si>
    <t>6" Cubicle Wall Clock, Black</t>
  </si>
  <si>
    <t>US-2017-104094</t>
  </si>
  <si>
    <t>TEC-AC-10002134</t>
  </si>
  <si>
    <t>Rosewill 107 Normal Keys USB Wired Standard Keyboard</t>
  </si>
  <si>
    <t>CA-2015-105158</t>
  </si>
  <si>
    <t>FUR-FU-10001706</t>
  </si>
  <si>
    <t>Longer-Life Soft White Bulbs</t>
  </si>
  <si>
    <t>CA-2015-119508</t>
  </si>
  <si>
    <t>TZ-21580</t>
  </si>
  <si>
    <t>Tracy Zic</t>
  </si>
  <si>
    <t>90712</t>
  </si>
  <si>
    <t>OFF-AR-10003723</t>
  </si>
  <si>
    <t>Avery Hi-Liter Fluorescent Desk Style Markers</t>
  </si>
  <si>
    <t>CA-2016-123932</t>
  </si>
  <si>
    <t>75217</t>
  </si>
  <si>
    <t>OFF-PA-10004665</t>
  </si>
  <si>
    <t>Advantus Motivational Note Cards</t>
  </si>
  <si>
    <t>CA-2016-149195</t>
  </si>
  <si>
    <t>DM-13525</t>
  </si>
  <si>
    <t>Don Miller</t>
  </si>
  <si>
    <t>OFF-PA-10001870</t>
  </si>
  <si>
    <t>Xerox 202</t>
  </si>
  <si>
    <t>CA-2014-132542</t>
  </si>
  <si>
    <t>AM-10360</t>
  </si>
  <si>
    <t>Alice McCarthy</t>
  </si>
  <si>
    <t>OFF-BI-10004099</t>
  </si>
  <si>
    <t>GBC VeloBinder Strips</t>
  </si>
  <si>
    <t>CA-2017-103009</t>
  </si>
  <si>
    <t>OFF-PA-10001215</t>
  </si>
  <si>
    <t>Xerox 1963</t>
  </si>
  <si>
    <t>CA-2016-153598</t>
  </si>
  <si>
    <t>TEC-AC-10003870</t>
  </si>
  <si>
    <t>Logitech Z-906 Speaker sys - home theater - 5.1-CH</t>
  </si>
  <si>
    <t>CA-2017-127782</t>
  </si>
  <si>
    <t>TH-21115</t>
  </si>
  <si>
    <t>Thea Hudgings</t>
  </si>
  <si>
    <t>FUR-FU-10001847</t>
  </si>
  <si>
    <t>Eldon Image Series Black Desk Accessories</t>
  </si>
  <si>
    <t>US-2016-162026</t>
  </si>
  <si>
    <t>OFF-PA-10000167</t>
  </si>
  <si>
    <t>Xerox 1925</t>
  </si>
  <si>
    <t>CA-2017-151008</t>
  </si>
  <si>
    <t>Draper</t>
  </si>
  <si>
    <t>84020</t>
  </si>
  <si>
    <t>FUR-FU-10002396</t>
  </si>
  <si>
    <t>DAX Copper Panel Document Frame, 5 x 7 Size</t>
  </si>
  <si>
    <t>CA-2017-116113</t>
  </si>
  <si>
    <t>JW-15220</t>
  </si>
  <si>
    <t>Jane Waco</t>
  </si>
  <si>
    <t>Montgomery</t>
  </si>
  <si>
    <t>36116</t>
  </si>
  <si>
    <t>FUR-FU-10002963</t>
  </si>
  <si>
    <t>Master Caster Door Stop, Gray</t>
  </si>
  <si>
    <t>US-2015-114741</t>
  </si>
  <si>
    <t>Nevada</t>
  </si>
  <si>
    <t>North Las Vegas</t>
  </si>
  <si>
    <t>89031</t>
  </si>
  <si>
    <t>OFF-PA-10000048</t>
  </si>
  <si>
    <t>Xerox 20</t>
  </si>
  <si>
    <t>CA-2014-108903</t>
  </si>
  <si>
    <t>DO-13435</t>
  </si>
  <si>
    <t>Denny Ordway</t>
  </si>
  <si>
    <t>OFF-AR-10004010</t>
  </si>
  <si>
    <t>Hunt Boston Vacuum Mount KS Pencil Sharpener</t>
  </si>
  <si>
    <t>CA-2015-142475</t>
  </si>
  <si>
    <t>BS-11380</t>
  </si>
  <si>
    <t>Bill Stewart</t>
  </si>
  <si>
    <t>OFF-BI-10003718</t>
  </si>
  <si>
    <t>GBC Therma-A-Bind 250T Electric Binding System</t>
  </si>
  <si>
    <t>CA-2015-168634</t>
  </si>
  <si>
    <t>AF-10870</t>
  </si>
  <si>
    <t>Art Ferguson</t>
  </si>
  <si>
    <t>OFF-AP-10001626</t>
  </si>
  <si>
    <t>Commercial WindTunnel Clean Air Upright Vacuum, Replacement Belts, Filtration Bags</t>
  </si>
  <si>
    <t>CA-2016-147431</t>
  </si>
  <si>
    <t>OFF-ST-10003994</t>
  </si>
  <si>
    <t>Belkin 19" Center-Weighted Shelf, Gray</t>
  </si>
  <si>
    <t>CA-2016-127985</t>
  </si>
  <si>
    <t>DB-12910</t>
  </si>
  <si>
    <t>Daniel Byrd</t>
  </si>
  <si>
    <t>FUR-FU-10003274</t>
  </si>
  <si>
    <t>Regeneration Desk Collection</t>
  </si>
  <si>
    <t>CA-2015-141012</t>
  </si>
  <si>
    <t>TG-21640</t>
  </si>
  <si>
    <t>Trudy Glocke</t>
  </si>
  <si>
    <t>Pocatello</t>
  </si>
  <si>
    <t>83201</t>
  </si>
  <si>
    <t>FUR-FU-10003192</t>
  </si>
  <si>
    <t>Luxo Adjustable Task Clamp Lamp</t>
  </si>
  <si>
    <t>CA-2015-131072</t>
  </si>
  <si>
    <t>OFF-BI-10002794</t>
  </si>
  <si>
    <t>Avery Trapezoid Ring Binder, 3" Capacity, Black, 1040 sheets</t>
  </si>
  <si>
    <t>CA-2014-155593</t>
  </si>
  <si>
    <t>OFF-SU-10002522</t>
  </si>
  <si>
    <t>Acme Kleen Earth Office Shears</t>
  </si>
  <si>
    <t>US-2014-143707</t>
  </si>
  <si>
    <t>HR-14770</t>
  </si>
  <si>
    <t>Hallie Redmond</t>
  </si>
  <si>
    <t>TEC-PH-10003655</t>
  </si>
  <si>
    <t>Sannysis Cute Owl Design Soft Skin Case Cover for Samsung Galaxy S4</t>
  </si>
  <si>
    <t>US-2015-159513</t>
  </si>
  <si>
    <t>JD-15790</t>
  </si>
  <si>
    <t>John Dryer</t>
  </si>
  <si>
    <t>TEC-MA-10003329</t>
  </si>
  <si>
    <t>Vtech AT&amp;T CL2940 Corded Speakerphone, Black</t>
  </si>
  <si>
    <t>CA-2016-125017</t>
  </si>
  <si>
    <t>Chattanooga</t>
  </si>
  <si>
    <t>37421</t>
  </si>
  <si>
    <t>FUR-FU-10000723</t>
  </si>
  <si>
    <t>Deflect-o EconoMat Studded, No Bevel Mat for Low Pile Carpeting</t>
  </si>
  <si>
    <t>CA-2017-161067</t>
  </si>
  <si>
    <t>KB-16405</t>
  </si>
  <si>
    <t>Katrina Bavinger</t>
  </si>
  <si>
    <t>OFF-PA-10000418</t>
  </si>
  <si>
    <t>Xerox 189</t>
  </si>
  <si>
    <t>CA-2016-101525</t>
  </si>
  <si>
    <t>CM-12235</t>
  </si>
  <si>
    <t>Chris McAfee</t>
  </si>
  <si>
    <t>Little Rock</t>
  </si>
  <si>
    <t>72209</t>
  </si>
  <si>
    <t>OFF-PA-10001497</t>
  </si>
  <si>
    <t>Xerox 1914</t>
  </si>
  <si>
    <t>US-2014-117968</t>
  </si>
  <si>
    <t>Meriden</t>
  </si>
  <si>
    <t>6450</t>
  </si>
  <si>
    <t>OFF-AP-10002765</t>
  </si>
  <si>
    <t>Fellowes Advanced Computer Series Surge Protectors</t>
  </si>
  <si>
    <t>CA-2016-133319</t>
  </si>
  <si>
    <t>MV-17485</t>
  </si>
  <si>
    <t>Mark Van Huff</t>
  </si>
  <si>
    <t>OFF-PA-10001815</t>
  </si>
  <si>
    <t>Xerox 1885</t>
  </si>
  <si>
    <t>CA-2015-147879</t>
  </si>
  <si>
    <t>Owensboro</t>
  </si>
  <si>
    <t>42301</t>
  </si>
  <si>
    <t>OFF-PA-10001952</t>
  </si>
  <si>
    <t>Xerox 1902</t>
  </si>
  <si>
    <t>CA-2016-167682</t>
  </si>
  <si>
    <t>ZD-21925</t>
  </si>
  <si>
    <t>Zuschuss Donatelli</t>
  </si>
  <si>
    <t>FUR-FU-10003799</t>
  </si>
  <si>
    <t>Seth Thomas 13 1/2" Wall Clock</t>
  </si>
  <si>
    <t>US-2017-169551</t>
  </si>
  <si>
    <t>RL-19615</t>
  </si>
  <si>
    <t>Rob Lucas</t>
  </si>
  <si>
    <t>FUR-BO-10001519</t>
  </si>
  <si>
    <t>O'Sullivan 3-Shelf Heavy-Duty Bookcases</t>
  </si>
  <si>
    <t>CA-2014-102652</t>
  </si>
  <si>
    <t>AY-10555</t>
  </si>
  <si>
    <t>Andy Yotov</t>
  </si>
  <si>
    <t>FUR-FU-10000747</t>
  </si>
  <si>
    <t>Tenex B1-RE Series Chair Mats for Low Pile Carpets</t>
  </si>
  <si>
    <t>US-2017-152492</t>
  </si>
  <si>
    <t>AH-10585</t>
  </si>
  <si>
    <t>Angele Hood</t>
  </si>
  <si>
    <t>Miami</t>
  </si>
  <si>
    <t>33142</t>
  </si>
  <si>
    <t>FUR-CH-10000155</t>
  </si>
  <si>
    <t>Global Comet Stacking Armless Chair</t>
  </si>
  <si>
    <t>CA-2016-117912</t>
  </si>
  <si>
    <t>TB-21520</t>
  </si>
  <si>
    <t>Tracy Blumstein</t>
  </si>
  <si>
    <t>FUR-FU-10002088</t>
  </si>
  <si>
    <t>Nu-Dell Float Frame 11 x 14 1/2</t>
  </si>
  <si>
    <t>CA-2017-154676</t>
  </si>
  <si>
    <t>OFF-ST-10001172</t>
  </si>
  <si>
    <t>Tennsco Lockers, Sand</t>
  </si>
  <si>
    <t>US-2016-106600</t>
  </si>
  <si>
    <t>RM-19375</t>
  </si>
  <si>
    <t>Raymond Messe</t>
  </si>
  <si>
    <t>FUR-BO-10001608</t>
  </si>
  <si>
    <t>Hon Metal Bookcases, Black</t>
  </si>
  <si>
    <t>CA-2017-139437</t>
  </si>
  <si>
    <t>OFF-ST-10002485</t>
  </si>
  <si>
    <t>Rogers Deluxe File Chest</t>
  </si>
  <si>
    <t>CA-2016-161025</t>
  </si>
  <si>
    <t>GM-14440</t>
  </si>
  <si>
    <t>Gary McGarr</t>
  </si>
  <si>
    <t>OFF-ST-10001932</t>
  </si>
  <si>
    <t>Fellowes Staxonsteel Drawer Files</t>
  </si>
  <si>
    <t>US-2014-106299</t>
  </si>
  <si>
    <t>Missouri</t>
  </si>
  <si>
    <t>65807</t>
  </si>
  <si>
    <t>OFF-BI-10001758</t>
  </si>
  <si>
    <t>Wilson Jones 14 Line Acrylic Coated Pressboard Data Binders</t>
  </si>
  <si>
    <t>CA-2015-133445</t>
  </si>
  <si>
    <t>FUR-BO-10003660</t>
  </si>
  <si>
    <t>Bush Cubix Collection Bookcases, Fully Assembled</t>
  </si>
  <si>
    <t>CA-2017-141425</t>
  </si>
  <si>
    <t>AR-10825</t>
  </si>
  <si>
    <t>Anthony Rawles</t>
  </si>
  <si>
    <t>OFF-SU-10000646</t>
  </si>
  <si>
    <t>Premier Automatic Letter Opener</t>
  </si>
  <si>
    <t>CA-2014-146731</t>
  </si>
  <si>
    <t>AT-10735</t>
  </si>
  <si>
    <t>Annie Thurman</t>
  </si>
  <si>
    <t>Nashville</t>
  </si>
  <si>
    <t>37211</t>
  </si>
  <si>
    <t>OFF-PA-10000141</t>
  </si>
  <si>
    <t>Ampad Evidence Wirebond Steno Books, 6" x 9"</t>
  </si>
  <si>
    <t>CA-2014-100090</t>
  </si>
  <si>
    <t>FUR-TA-10003715</t>
  </si>
  <si>
    <t>Hon 2111 Invitation Series Corner Table</t>
  </si>
  <si>
    <t>CA-2016-163328</t>
  </si>
  <si>
    <t>TP-21565</t>
  </si>
  <si>
    <t>Tracy Poddar</t>
  </si>
  <si>
    <t>Eugene</t>
  </si>
  <si>
    <t>97405</t>
  </si>
  <si>
    <t>OFF-SU-10002301</t>
  </si>
  <si>
    <t>Serrated Blade or Curved Handle Hand Letter Openers</t>
  </si>
  <si>
    <t>CA-2017-143112</t>
  </si>
  <si>
    <t>TS-21370</t>
  </si>
  <si>
    <t>Todd Sumrall</t>
  </si>
  <si>
    <t>TEC-PH-10003095</t>
  </si>
  <si>
    <t>Samsung HM1900 Bluetooth Headset</t>
  </si>
  <si>
    <t>CA-2017-161557</t>
  </si>
  <si>
    <t>FUR-FU-10004622</t>
  </si>
  <si>
    <t>Eldon Advantage Foldable Chair Mats for Low Pile Carpets</t>
  </si>
  <si>
    <t>CA-2017-144848</t>
  </si>
  <si>
    <t>DS-13030</t>
  </si>
  <si>
    <t>Darrin Sayre</t>
  </si>
  <si>
    <t>TEC-PH-10004006</t>
  </si>
  <si>
    <t>Panasonic KX - TS880B Telephone</t>
  </si>
  <si>
    <t>CA-2016-103919</t>
  </si>
  <si>
    <t>FUR-FU-10001756</t>
  </si>
  <si>
    <t>Eldon Expressions Desk Accessory, Wood Photo Frame, Mahogany</t>
  </si>
  <si>
    <t>CA-2017-151981</t>
  </si>
  <si>
    <t>New Hampshire</t>
  </si>
  <si>
    <t>Concord</t>
  </si>
  <si>
    <t>3301</t>
  </si>
  <si>
    <t>TEC-PH-10003601</t>
  </si>
  <si>
    <t>Ativa D5772 2-Line 5.8GHz Digital Expandable Corded/Cordless Phone System with Answering &amp; Caller ID/Call Waiting, Black/Silver</t>
  </si>
  <si>
    <t>CA-2014-110065</t>
  </si>
  <si>
    <t>SP-20650</t>
  </si>
  <si>
    <t>Stephanie Phelps</t>
  </si>
  <si>
    <t>TEC-PH-10002468</t>
  </si>
  <si>
    <t>Plantronics CS 50-USB - headset - Convertible, Monaural</t>
  </si>
  <si>
    <t>US-2016-128909</t>
  </si>
  <si>
    <t>SP-20545</t>
  </si>
  <si>
    <t>Sibella Parks</t>
  </si>
  <si>
    <t>OFF-PA-10001593</t>
  </si>
  <si>
    <t>Xerox 1947</t>
  </si>
  <si>
    <t>CA-2017-167640</t>
  </si>
  <si>
    <t>FC-14245</t>
  </si>
  <si>
    <t>Frank Carlisle</t>
  </si>
  <si>
    <t>OFF-AR-10003158</t>
  </si>
  <si>
    <t>Fluorescent Highlighters by Dixon</t>
  </si>
  <si>
    <t>CA-2017-123085</t>
  </si>
  <si>
    <t>EJ-13720</t>
  </si>
  <si>
    <t>Ed Jacobs</t>
  </si>
  <si>
    <t>TEC-AC-10000990</t>
  </si>
  <si>
    <t>Imation Bio 2GB USB Flash Drive Imation Corp</t>
  </si>
  <si>
    <t>CA-2015-153752</t>
  </si>
  <si>
    <t>RO-19780</t>
  </si>
  <si>
    <t>Rose O'Brian</t>
  </si>
  <si>
    <t>TEC-PH-10001615</t>
  </si>
  <si>
    <t>AT&amp;T CL82213</t>
  </si>
  <si>
    <t>CA-2015-135510</t>
  </si>
  <si>
    <t>TW-21025</t>
  </si>
  <si>
    <t>Tamara Willingham</t>
  </si>
  <si>
    <t>FUR-FU-10000820</t>
  </si>
  <si>
    <t>Tensor Brushed Steel Torchiere Floor Lamp</t>
  </si>
  <si>
    <t>CA-2017-138618</t>
  </si>
  <si>
    <t>OFF-PA-10000520</t>
  </si>
  <si>
    <t>Xerox 201</t>
  </si>
  <si>
    <t>US-2017-149006</t>
  </si>
  <si>
    <t>BN-11470</t>
  </si>
  <si>
    <t>Brad Norvell</t>
  </si>
  <si>
    <t>OFF-ST-10003221</t>
  </si>
  <si>
    <t>CA-2016-129847</t>
  </si>
  <si>
    <t>TA-21385</t>
  </si>
  <si>
    <t>Tom Ashbrook</t>
  </si>
  <si>
    <t>FUR-FU-10000277</t>
  </si>
  <si>
    <t>Deflect-o DuraMat Antistatic Studded Beveled Mat for Medium Pile Carpeting</t>
  </si>
  <si>
    <t>CA-2016-125094</t>
  </si>
  <si>
    <t>NP-18700</t>
  </si>
  <si>
    <t>Nora Preis</t>
  </si>
  <si>
    <t>TEC-AC-10004420</t>
  </si>
  <si>
    <t>Cherry 142-key Programmable Keyboard</t>
  </si>
  <si>
    <t>US-2017-101840</t>
  </si>
  <si>
    <t>TEC-PH-10002538</t>
  </si>
  <si>
    <t>Grandstream GXP1160 VoIP phone</t>
  </si>
  <si>
    <t>US-2016-102239</t>
  </si>
  <si>
    <t>89015</t>
  </si>
  <si>
    <t>FUR-TA-10003392</t>
  </si>
  <si>
    <t>Global Adaptabilities Conference Tables</t>
  </si>
  <si>
    <t>CA-2017-133067</t>
  </si>
  <si>
    <t>MY-18295</t>
  </si>
  <si>
    <t>Muhammed Yedwab</t>
  </si>
  <si>
    <t>OFF-BI-10002897</t>
  </si>
  <si>
    <t>Black Avery Memo-Size 3-Ring Binder, 5 1/2" x 8 1/2"</t>
  </si>
  <si>
    <t>US-2016-119046</t>
  </si>
  <si>
    <t>EH-13765</t>
  </si>
  <si>
    <t>Edward Hooks</t>
  </si>
  <si>
    <t>OFF-PA-10000246</t>
  </si>
  <si>
    <t>Riverleaf Stik-Withit Designer Note Cubes</t>
  </si>
  <si>
    <t>CA-2016-164924</t>
  </si>
  <si>
    <t>EA-14035</t>
  </si>
  <si>
    <t>Erin Ashbrook</t>
  </si>
  <si>
    <t>TEC-MA-10000904</t>
  </si>
  <si>
    <t>Brother MFC-9340CDW LED All-In-One Printer, Copier Scanner</t>
  </si>
  <si>
    <t>CA-2015-158491</t>
  </si>
  <si>
    <t>TEC-AC-10001874</t>
  </si>
  <si>
    <t>Logitech Wireless Anywhere Mouse MX for PC and Mac</t>
  </si>
  <si>
    <t>CA-2014-158281</t>
  </si>
  <si>
    <t>AG-10525</t>
  </si>
  <si>
    <t>Andy Gerbode</t>
  </si>
  <si>
    <t>TEC-MA-10002210</t>
  </si>
  <si>
    <t>Epson TM-T88V Direct Thermal Printer - Monochrome - Desktop</t>
  </si>
  <si>
    <t>CA-2017-109183</t>
  </si>
  <si>
    <t>TEC-MA-10001856</t>
  </si>
  <si>
    <t>Okidata C610n Printer</t>
  </si>
  <si>
    <t>CA-2014-121769</t>
  </si>
  <si>
    <t>JS-15880</t>
  </si>
  <si>
    <t>John Stevenson</t>
  </si>
  <si>
    <t>FUR-TA-10004442</t>
  </si>
  <si>
    <t>Riverside Furniture Stanwyck Manor Table Series</t>
  </si>
  <si>
    <t>CA-2016-124583</t>
  </si>
  <si>
    <t>LB-16795</t>
  </si>
  <si>
    <t>Laurel Beltran</t>
  </si>
  <si>
    <t>Huntington Beach</t>
  </si>
  <si>
    <t>92646</t>
  </si>
  <si>
    <t>OFF-EN-10002500</t>
  </si>
  <si>
    <t>Globe Weis Peel &amp; Seel First Class Envelopes</t>
  </si>
  <si>
    <t>US-2016-157490</t>
  </si>
  <si>
    <t>Pueblo</t>
  </si>
  <si>
    <t>81001</t>
  </si>
  <si>
    <t>TEC-MA-10001695</t>
  </si>
  <si>
    <t>Zebra GK420t Direct Thermal/Thermal Transfer Printer</t>
  </si>
  <si>
    <t>CA-2015-161452</t>
  </si>
  <si>
    <t>CA-11965</t>
  </si>
  <si>
    <t>Carol Adams</t>
  </si>
  <si>
    <t>FUR-CH-10003973</t>
  </si>
  <si>
    <t>GuestStacker Chair with Chrome Finish Legs</t>
  </si>
  <si>
    <t>CA-2014-150203</t>
  </si>
  <si>
    <t>JB-15925</t>
  </si>
  <si>
    <t>Joni Blumstein</t>
  </si>
  <si>
    <t>OFF-AP-10001469</t>
  </si>
  <si>
    <t>Fellowes 8 Outlet Superior Workstation Surge Protector</t>
  </si>
  <si>
    <t>CA-2015-149636</t>
  </si>
  <si>
    <t>Colorado Springs</t>
  </si>
  <si>
    <t>80906</t>
  </si>
  <si>
    <t>OFF-PA-10004041</t>
  </si>
  <si>
    <t>It's Hot Message Books with Stickers, 2 3/4" x 5"</t>
  </si>
  <si>
    <t>CA-2017-123071</t>
  </si>
  <si>
    <t>OFF-PA-10003729</t>
  </si>
  <si>
    <t>Xerox 1998</t>
  </si>
  <si>
    <t>CA-2017-152436</t>
  </si>
  <si>
    <t>CW-11905</t>
  </si>
  <si>
    <t>Carl Weiss</t>
  </si>
  <si>
    <t>Cranston</t>
  </si>
  <si>
    <t>2920</t>
  </si>
  <si>
    <t>OFF-ST-10000036</t>
  </si>
  <si>
    <t>Recycled Data-Pak for Archival Bound Computer Printouts, 12-1/2 x 12-1/2 x 16</t>
  </si>
  <si>
    <t>CA-2017-118017</t>
  </si>
  <si>
    <t>Thornton</t>
  </si>
  <si>
    <t>80229</t>
  </si>
  <si>
    <t>OFF-AR-10003856</t>
  </si>
  <si>
    <t>Newell 344</t>
  </si>
  <si>
    <t>CA-2016-157707</t>
  </si>
  <si>
    <t>CC-12610</t>
  </si>
  <si>
    <t>Corey Catlett</t>
  </si>
  <si>
    <t>FUR-BO-10001567</t>
  </si>
  <si>
    <t>Bush Westfield Collection Bookcases, Dark Cherry Finish, Fully Assembled</t>
  </si>
  <si>
    <t>CA-2014-143210</t>
  </si>
  <si>
    <t>AA-10645</t>
  </si>
  <si>
    <t>Anna Andreadi</t>
  </si>
  <si>
    <t>TEC-PH-10004434</t>
  </si>
  <si>
    <t>Cisco IP Phone 7961G VoIP phone - Dark gray</t>
  </si>
  <si>
    <t>CA-2016-132997</t>
  </si>
  <si>
    <t>LW-17215</t>
  </si>
  <si>
    <t>Luke Weiss</t>
  </si>
  <si>
    <t>TEC-PH-10000586</t>
  </si>
  <si>
    <t>AT&amp;T SB67148 SynJ</t>
  </si>
  <si>
    <t>CA-2015-112767</t>
  </si>
  <si>
    <t>97477</t>
  </si>
  <si>
    <t>FUR-TA-10003469</t>
  </si>
  <si>
    <t>Balt Split Level Computer Training Table</t>
  </si>
  <si>
    <t>CA-2016-116337</t>
  </si>
  <si>
    <t>FUR-FU-10002030</t>
  </si>
  <si>
    <t>Executive Impressions 14" Contract Wall Clock with Quartz Movement</t>
  </si>
  <si>
    <t>CA-2017-102204</t>
  </si>
  <si>
    <t>OFF-SU-10001212</t>
  </si>
  <si>
    <t>Kleencut Forged Office Shears by Acme United Corporation</t>
  </si>
  <si>
    <t>CA-2017-113572</t>
  </si>
  <si>
    <t>TEC-AC-10002370</t>
  </si>
  <si>
    <t>Maxell CD-R Discs</t>
  </si>
  <si>
    <t>CA-2016-101469</t>
  </si>
  <si>
    <t>OFF-AR-10003986</t>
  </si>
  <si>
    <t>Avery Hi-Liter Pen Style Six-Color Fluorescent Set</t>
  </si>
  <si>
    <t>CA-2014-109918</t>
  </si>
  <si>
    <t>LR-17035</t>
  </si>
  <si>
    <t>Lisa Ryan</t>
  </si>
  <si>
    <t>Santa Clara</t>
  </si>
  <si>
    <t>95051</t>
  </si>
  <si>
    <t>OFF-SU-10004290</t>
  </si>
  <si>
    <t>Acme Design Line 8" Stainless Steel Bent Scissors w/Champagne Handles, 3-1/8" Cut</t>
  </si>
  <si>
    <t>CA-2017-106824</t>
  </si>
  <si>
    <t>OFF-FA-10001135</t>
  </si>
  <si>
    <t>Brites Rubber Bands, 1 1/2 oz. Box</t>
  </si>
  <si>
    <t>CA-2016-143154</t>
  </si>
  <si>
    <t>Longmont</t>
  </si>
  <si>
    <t>80501</t>
  </si>
  <si>
    <t>TEC-AC-10002942</t>
  </si>
  <si>
    <t>WD My Passport Ultra 1TB Portable External Hard Drive</t>
  </si>
  <si>
    <t>CA-2017-118003</t>
  </si>
  <si>
    <t>DO-13645</t>
  </si>
  <si>
    <t>Doug O'Connell</t>
  </si>
  <si>
    <t>Paterson</t>
  </si>
  <si>
    <t>7501</t>
  </si>
  <si>
    <t>FUR-FU-10002506</t>
  </si>
  <si>
    <t>Tensor "Hersey Kiss" Styled Floor Lamp</t>
  </si>
  <si>
    <t>US-2016-160206</t>
  </si>
  <si>
    <t>TEC-PH-10000148</t>
  </si>
  <si>
    <t>Cyber Acoustics AC-202b Speech Recognition Stereo Headset</t>
  </si>
  <si>
    <t>CA-2015-126186</t>
  </si>
  <si>
    <t>80013</t>
  </si>
  <si>
    <t>FUR-FU-10000073</t>
  </si>
  <si>
    <t>Deflect-O Glasstique Clear Desk Accessories</t>
  </si>
  <si>
    <t>CA-2015-133494</t>
  </si>
  <si>
    <t>OFF-AP-10002906</t>
  </si>
  <si>
    <t>Hoover Replacement Belt for Commercial Guardsman Heavy-Duty Upright Vacuum</t>
  </si>
  <si>
    <t>US-2014-132745</t>
  </si>
  <si>
    <t>NF-18475</t>
  </si>
  <si>
    <t>Neil Französisch</t>
  </si>
  <si>
    <t>Reno</t>
  </si>
  <si>
    <t>89502</t>
  </si>
  <si>
    <t>OFF-FA-10000254</t>
  </si>
  <si>
    <t>Sterling Rubber Bands by Alliance</t>
  </si>
  <si>
    <t>CA-2016-105662</t>
  </si>
  <si>
    <t>RB-19465</t>
  </si>
  <si>
    <t>Rick Bensley</t>
  </si>
  <si>
    <t>Tallahassee</t>
  </si>
  <si>
    <t>32303</t>
  </si>
  <si>
    <t>OFF-PA-10001001</t>
  </si>
  <si>
    <t>Snap-A-Way Black Print Carbonless Speed Message, No Reply Area, Duplicate</t>
  </si>
  <si>
    <t>CA-2015-115168</t>
  </si>
  <si>
    <t>BB-11545</t>
  </si>
  <si>
    <t>Brenda Bowman</t>
  </si>
  <si>
    <t>Saint Charles</t>
  </si>
  <si>
    <t>63301</t>
  </si>
  <si>
    <t>OFF-PA-10000528</t>
  </si>
  <si>
    <t>Xerox 1981</t>
  </si>
  <si>
    <t>CA-2016-158260</t>
  </si>
  <si>
    <t>TEC-MA-10003176</t>
  </si>
  <si>
    <t>Okidata B400 Printer</t>
  </si>
  <si>
    <t>US-2014-105137</t>
  </si>
  <si>
    <t>TEC-MA-10002694</t>
  </si>
  <si>
    <t>Hewlett-Packard Deskjet F4180 All-in-One Color Ink-jet - Printer / copier / scanner</t>
  </si>
  <si>
    <t>CA-2017-102610</t>
  </si>
  <si>
    <t>TEC-AC-10000303</t>
  </si>
  <si>
    <t>Logitech M510 Wireless Mouse</t>
  </si>
  <si>
    <t>CA-2014-108182</t>
  </si>
  <si>
    <t>Romeoville</t>
  </si>
  <si>
    <t>60441</t>
  </si>
  <si>
    <t>OFF-BI-10001196</t>
  </si>
  <si>
    <t>Avery Flip-Chart Easel Binder, Black</t>
  </si>
  <si>
    <t>CA-2015-160227</t>
  </si>
  <si>
    <t>ED-13885</t>
  </si>
  <si>
    <t>Emily Ducich</t>
  </si>
  <si>
    <t>FUR-CH-10002073</t>
  </si>
  <si>
    <t>Hon Olson Stacker Chairs</t>
  </si>
  <si>
    <t>US-2014-134054</t>
  </si>
  <si>
    <t>FC-14335</t>
  </si>
  <si>
    <t>Fred Chung</t>
  </si>
  <si>
    <t>New Mexico</t>
  </si>
  <si>
    <t>Albuquerque</t>
  </si>
  <si>
    <t>87105</t>
  </si>
  <si>
    <t>OFF-AR-10000937</t>
  </si>
  <si>
    <t>Dixon Ticonderoga Core-Lock Colored Pencils, 48-Color Set</t>
  </si>
  <si>
    <t>CA-2016-161907</t>
  </si>
  <si>
    <t>JH-16180</t>
  </si>
  <si>
    <t>Justin Hirsh</t>
  </si>
  <si>
    <t>TEC-PH-10000141</t>
  </si>
  <si>
    <t>Clearsounds A400</t>
  </si>
  <si>
    <t>CA-2015-138625</t>
  </si>
  <si>
    <t>Chesapeake</t>
  </si>
  <si>
    <t>23320</t>
  </si>
  <si>
    <t>OFF-AP-10003099</t>
  </si>
  <si>
    <t>Eureka Hand Vacuum, Bagless</t>
  </si>
  <si>
    <t>CA-2017-117128</t>
  </si>
  <si>
    <t>BF-11080</t>
  </si>
  <si>
    <t>Bart Folk</t>
  </si>
  <si>
    <t>OFF-PA-10000007</t>
  </si>
  <si>
    <t>Telephone Message Books with Fax/Mobile Section, 4 1/4" x 6"</t>
  </si>
  <si>
    <t>CA-2016-137393</t>
  </si>
  <si>
    <t>GM-14500</t>
  </si>
  <si>
    <t>Gene McClure</t>
  </si>
  <si>
    <t>Bakersfield</t>
  </si>
  <si>
    <t>93309</t>
  </si>
  <si>
    <t>FUR-FU-10001617</t>
  </si>
  <si>
    <t>Executive Impressions 8-1/2" Career Panel/Partition Cubicle Clock</t>
  </si>
  <si>
    <t>CA-2014-120950</t>
  </si>
  <si>
    <t>GA-14515</t>
  </si>
  <si>
    <t>George Ashbrook</t>
  </si>
  <si>
    <t>OFF-PA-10000587</t>
  </si>
  <si>
    <t>Array Parchment Paper, Assorted Colors</t>
  </si>
  <si>
    <t>US-2016-103674</t>
  </si>
  <si>
    <t>TEC-PH-10004080</t>
  </si>
  <si>
    <t>Avaya 5410 Digital phone</t>
  </si>
  <si>
    <t>Sum of Total Sales</t>
  </si>
  <si>
    <t>Sum of Total Profit</t>
  </si>
  <si>
    <t>Row Labels</t>
  </si>
  <si>
    <t>Grand Total</t>
  </si>
  <si>
    <t>Region-wise Sales &amp; Profit Analysis</t>
  </si>
  <si>
    <t xml:space="preserve"> Sales</t>
  </si>
  <si>
    <t>Profit</t>
  </si>
  <si>
    <t>Product Category &amp; Sub-Category Profitability Analysis</t>
  </si>
  <si>
    <t>0-0.1</t>
  </si>
  <si>
    <t>0.1-0.2</t>
  </si>
  <si>
    <t>0.2-0.3</t>
  </si>
  <si>
    <t>0.3-0.4</t>
  </si>
  <si>
    <t>0.4-0.5</t>
  </si>
  <si>
    <t>0.5-0.6</t>
  </si>
  <si>
    <t>0.6-0.7</t>
  </si>
  <si>
    <t>0.7-0.8</t>
  </si>
  <si>
    <t>0.8-0.9</t>
  </si>
  <si>
    <t>Discount vs Profitability Analysis</t>
  </si>
  <si>
    <t>Sales and Trend over Time</t>
  </si>
  <si>
    <t>Total Margin</t>
  </si>
  <si>
    <t>Profit Margin %</t>
  </si>
  <si>
    <t>2014</t>
  </si>
  <si>
    <t>2015</t>
  </si>
  <si>
    <t>2016</t>
  </si>
  <si>
    <t>2017</t>
  </si>
  <si>
    <t>Jan</t>
  </si>
  <si>
    <t>Feb</t>
  </si>
  <si>
    <t>Mar</t>
  </si>
  <si>
    <t>Apr</t>
  </si>
  <si>
    <t>Jun</t>
  </si>
  <si>
    <t>Jul</t>
  </si>
  <si>
    <t>Aug</t>
  </si>
  <si>
    <t>Sep</t>
  </si>
  <si>
    <t>Oct</t>
  </si>
  <si>
    <t>Nov</t>
  </si>
  <si>
    <t>Dec</t>
  </si>
  <si>
    <t>Superstore Sales Performance Dashboard (2014–2017)</t>
  </si>
  <si>
    <t>Key Performance Indicator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</si>
</sst>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4009]\ #,##0.00;[$₹-4009]\ \-#,##0.00"/>
  </numFmts>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20"/>
      <color theme="1"/>
      <name val="Aptos Narrow"/>
      <family val="2"/>
      <scheme val="minor"/>
    </font>
    <font>
      <b/>
      <sz val="11"/>
      <color theme="2" tint="-0.749992370372631"/>
      <name val="Aptos Narrow"/>
      <family val="2"/>
      <scheme val="minor"/>
    </font>
    <font>
      <b/>
      <sz val="14"/>
      <name val="Aptos Narrow"/>
      <family val="2"/>
      <scheme val="minor"/>
    </font>
    <font>
      <b/>
      <sz val="14"/>
      <color rgb="FF0A0A0A"/>
      <name val="Arial"/>
      <family val="2"/>
    </font>
  </fonts>
  <fills count="8">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rgb="FFE4F1AF"/>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theme="2"/>
      </left>
      <right/>
      <top style="medium">
        <color theme="2"/>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73">
    <xf numFmtId="0" fontId="0" fillId="0" borderId="0" xfId="0"/>
    <xf numFmtId="14" fontId="0" fillId="0" borderId="0" xfId="0" applyNumberFormat="1"/>
    <xf numFmtId="164" fontId="0" fillId="0" borderId="0" xfId="0" applyNumberFormat="1"/>
    <xf numFmtId="0" fontId="0" fillId="0" borderId="1" xfId="0" applyBorder="1"/>
    <xf numFmtId="0" fontId="0" fillId="0" borderId="4" xfId="0" applyBorder="1"/>
    <xf numFmtId="164" fontId="1" fillId="0" borderId="8" xfId="0" applyNumberFormat="1" applyFont="1" applyBorder="1"/>
    <xf numFmtId="164" fontId="0" fillId="0" borderId="8" xfId="0" applyNumberFormat="1" applyBorder="1"/>
    <xf numFmtId="164" fontId="0" fillId="0" borderId="10" xfId="0" applyNumberFormat="1" applyBorder="1"/>
    <xf numFmtId="0" fontId="0" fillId="0" borderId="1" xfId="0" pivotButton="1" applyBorder="1"/>
    <xf numFmtId="164" fontId="0" fillId="0" borderId="1" xfId="0" applyNumberFormat="1" applyBorder="1"/>
    <xf numFmtId="164" fontId="1" fillId="0" borderId="1" xfId="0" applyNumberFormat="1" applyFont="1" applyBorder="1"/>
    <xf numFmtId="0" fontId="2" fillId="3" borderId="0" xfId="0" applyFont="1" applyFill="1"/>
    <xf numFmtId="164" fontId="0" fillId="0" borderId="5" xfId="0" applyNumberFormat="1" applyBorder="1"/>
    <xf numFmtId="164" fontId="0" fillId="0" borderId="6" xfId="0" applyNumberFormat="1" applyBorder="1"/>
    <xf numFmtId="164" fontId="0" fillId="0" borderId="7" xfId="0" applyNumberFormat="1" applyBorder="1"/>
    <xf numFmtId="164" fontId="0" fillId="0" borderId="9" xfId="0" applyNumberFormat="1" applyBorder="1"/>
    <xf numFmtId="0" fontId="0" fillId="0" borderId="2" xfId="0" pivotButton="1" applyBorder="1"/>
    <xf numFmtId="0" fontId="0" fillId="0" borderId="2" xfId="0" applyBorder="1" applyAlignment="1">
      <alignment horizontal="left"/>
    </xf>
    <xf numFmtId="0" fontId="0" fillId="0" borderId="11" xfId="0" applyBorder="1" applyAlignment="1">
      <alignment horizontal="left" indent="1"/>
    </xf>
    <xf numFmtId="0" fontId="0" fillId="0" borderId="12" xfId="0" applyBorder="1" applyAlignment="1">
      <alignment horizontal="left" indent="1"/>
    </xf>
    <xf numFmtId="0" fontId="0" fillId="0" borderId="13" xfId="0" applyBorder="1" applyAlignment="1">
      <alignment horizontal="left" indent="1"/>
    </xf>
    <xf numFmtId="0" fontId="0" fillId="0" borderId="3" xfId="0" applyBorder="1"/>
    <xf numFmtId="0" fontId="2" fillId="0" borderId="0" xfId="0" applyFont="1"/>
    <xf numFmtId="0" fontId="0" fillId="0" borderId="5" xfId="0" pivotButton="1" applyBorder="1"/>
    <xf numFmtId="0" fontId="0" fillId="4" borderId="0" xfId="0" applyFill="1" applyAlignment="1">
      <alignment horizontal="center" vertical="center" wrapText="1"/>
    </xf>
    <xf numFmtId="10" fontId="3" fillId="4" borderId="14" xfId="0" applyNumberFormat="1" applyFont="1" applyFill="1" applyBorder="1" applyAlignment="1">
      <alignment horizontal="center" vertical="center" wrapText="1"/>
    </xf>
    <xf numFmtId="0" fontId="0" fillId="4" borderId="15" xfId="0" applyFill="1" applyBorder="1" applyAlignment="1">
      <alignment horizontal="center" vertical="center" wrapText="1"/>
    </xf>
    <xf numFmtId="0" fontId="0" fillId="4" borderId="17" xfId="0" applyFill="1" applyBorder="1" applyAlignment="1">
      <alignment horizontal="center" vertical="center" wrapText="1"/>
    </xf>
    <xf numFmtId="0" fontId="0" fillId="4" borderId="18" xfId="0" applyFill="1" applyBorder="1" applyAlignment="1">
      <alignment horizontal="center" vertical="center" wrapText="1"/>
    </xf>
    <xf numFmtId="0" fontId="0" fillId="4" borderId="19" xfId="0" applyFill="1" applyBorder="1" applyAlignment="1">
      <alignment horizontal="center" vertical="center" wrapText="1"/>
    </xf>
    <xf numFmtId="0" fontId="0" fillId="4" borderId="0" xfId="0" applyFill="1" applyAlignment="1">
      <alignment horizontal="center" vertical="center"/>
    </xf>
    <xf numFmtId="0" fontId="0" fillId="4" borderId="20" xfId="0" applyFill="1" applyBorder="1" applyAlignment="1">
      <alignment horizontal="center" vertical="center" wrapText="1"/>
    </xf>
    <xf numFmtId="0" fontId="0" fillId="4" borderId="21" xfId="0" applyFill="1" applyBorder="1" applyAlignment="1">
      <alignment horizontal="center" vertical="center" wrapText="1"/>
    </xf>
    <xf numFmtId="0" fontId="0" fillId="4" borderId="22" xfId="0" applyFill="1" applyBorder="1" applyAlignment="1">
      <alignment horizontal="center" vertical="center" wrapText="1"/>
    </xf>
    <xf numFmtId="0" fontId="4" fillId="4" borderId="16" xfId="0" applyFont="1" applyFill="1" applyBorder="1" applyAlignment="1">
      <alignment horizontal="center" vertical="center" wrapText="1"/>
    </xf>
    <xf numFmtId="0" fontId="0" fillId="0" borderId="7" xfId="0" applyBorder="1" applyAlignment="1">
      <alignment horizontal="left"/>
    </xf>
    <xf numFmtId="0" fontId="0" fillId="0" borderId="7" xfId="0" applyBorder="1" applyAlignment="1">
      <alignment horizontal="left" indent="1"/>
    </xf>
    <xf numFmtId="10" fontId="0" fillId="0" borderId="11" xfId="0" applyNumberFormat="1"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6" borderId="15" xfId="0" applyFill="1" applyBorder="1" applyAlignment="1">
      <alignment horizontal="center" vertical="center" wrapText="1"/>
    </xf>
    <xf numFmtId="0" fontId="4" fillId="6" borderId="16" xfId="0" applyFont="1" applyFill="1" applyBorder="1" applyAlignment="1">
      <alignment horizontal="center" vertical="center" wrapText="1"/>
    </xf>
    <xf numFmtId="0" fontId="0" fillId="6" borderId="17" xfId="0" applyFill="1" applyBorder="1" applyAlignment="1">
      <alignment horizontal="center" vertical="center" wrapText="1"/>
    </xf>
    <xf numFmtId="0" fontId="0" fillId="6" borderId="18" xfId="0" applyFill="1" applyBorder="1" applyAlignment="1">
      <alignment horizontal="center" vertical="center" wrapText="1"/>
    </xf>
    <xf numFmtId="0" fontId="0" fillId="6" borderId="0" xfId="0" applyFill="1" applyAlignment="1">
      <alignment horizontal="center" vertical="center" wrapText="1"/>
    </xf>
    <xf numFmtId="0" fontId="0" fillId="6" borderId="19" xfId="0" applyFill="1" applyBorder="1" applyAlignment="1">
      <alignment horizontal="center" vertical="center" wrapText="1"/>
    </xf>
    <xf numFmtId="0" fontId="0" fillId="6" borderId="0" xfId="0" applyFill="1" applyAlignment="1">
      <alignment horizontal="center" vertical="center"/>
    </xf>
    <xf numFmtId="165" fontId="3" fillId="6" borderId="14" xfId="0" applyNumberFormat="1" applyFont="1" applyFill="1" applyBorder="1" applyAlignment="1">
      <alignment horizontal="center" vertical="center" wrapText="1"/>
    </xf>
    <xf numFmtId="0" fontId="0" fillId="6" borderId="20" xfId="0" applyFill="1" applyBorder="1" applyAlignment="1">
      <alignment horizontal="center" vertical="center" wrapText="1"/>
    </xf>
    <xf numFmtId="0" fontId="0" fillId="6" borderId="21" xfId="0" applyFill="1" applyBorder="1" applyAlignment="1">
      <alignment horizontal="center" vertical="center" wrapText="1"/>
    </xf>
    <xf numFmtId="0" fontId="0" fillId="6" borderId="22" xfId="0" applyFill="1" applyBorder="1" applyAlignment="1">
      <alignment horizontal="center" vertical="center" wrapText="1"/>
    </xf>
    <xf numFmtId="0" fontId="0" fillId="2" borderId="15" xfId="0" applyFill="1" applyBorder="1" applyAlignment="1">
      <alignment horizontal="center" vertical="center" wrapText="1"/>
    </xf>
    <xf numFmtId="0" fontId="4" fillId="2" borderId="16" xfId="0" applyFont="1" applyFill="1" applyBorder="1" applyAlignment="1">
      <alignment horizontal="center" vertical="center" wrapText="1"/>
    </xf>
    <xf numFmtId="0" fontId="0" fillId="2" borderId="17" xfId="0" applyFill="1" applyBorder="1" applyAlignment="1">
      <alignment horizontal="center" vertical="center" wrapText="1"/>
    </xf>
    <xf numFmtId="0" fontId="0" fillId="2" borderId="18" xfId="0" applyFill="1" applyBorder="1" applyAlignment="1">
      <alignment horizontal="center" vertical="center" wrapText="1"/>
    </xf>
    <xf numFmtId="0" fontId="0" fillId="2" borderId="0" xfId="0" applyFill="1" applyAlignment="1">
      <alignment horizontal="center" vertical="center" wrapText="1"/>
    </xf>
    <xf numFmtId="0" fontId="0" fillId="2" borderId="19" xfId="0" applyFill="1" applyBorder="1" applyAlignment="1">
      <alignment horizontal="center" vertical="center" wrapText="1"/>
    </xf>
    <xf numFmtId="0" fontId="0" fillId="2" borderId="0" xfId="0" applyFill="1" applyAlignment="1">
      <alignment horizontal="center" vertical="center"/>
    </xf>
    <xf numFmtId="165" fontId="3" fillId="2" borderId="14" xfId="0" applyNumberFormat="1" applyFont="1"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5" fillId="2" borderId="0" xfId="0" applyFont="1" applyFill="1" applyAlignment="1">
      <alignment horizontal="center"/>
    </xf>
    <xf numFmtId="0" fontId="2" fillId="3" borderId="0" xfId="0" applyFont="1" applyFill="1" applyAlignment="1">
      <alignment horizontal="center"/>
    </xf>
    <xf numFmtId="0" fontId="2" fillId="2" borderId="0" xfId="0" applyFont="1" applyFill="1" applyAlignment="1">
      <alignment horizontal="center"/>
    </xf>
    <xf numFmtId="0" fontId="3" fillId="7" borderId="0" xfId="0" applyFont="1" applyFill="1" applyAlignment="1">
      <alignment horizontal="center"/>
    </xf>
    <xf numFmtId="0" fontId="6" fillId="2" borderId="0" xfId="0" applyFont="1" applyFill="1" applyAlignment="1">
      <alignment horizontal="center"/>
    </xf>
    <xf numFmtId="0" fontId="0" fillId="0" borderId="23" xfId="0" applyBorder="1"/>
    <xf numFmtId="0" fontId="2" fillId="0" borderId="24" xfId="0" applyFont="1" applyBorder="1"/>
    <xf numFmtId="0" fontId="2" fillId="5" borderId="25" xfId="0" applyFont="1" applyFill="1" applyBorder="1" applyAlignment="1">
      <alignment horizontal="center"/>
    </xf>
    <xf numFmtId="164" fontId="2" fillId="0" borderId="26" xfId="0" applyNumberFormat="1" applyFont="1" applyBorder="1"/>
    <xf numFmtId="164" fontId="2" fillId="0" borderId="27" xfId="0" applyNumberFormat="1" applyFont="1" applyBorder="1"/>
    <xf numFmtId="10" fontId="2" fillId="0" borderId="28" xfId="0" applyNumberFormat="1" applyFont="1" applyBorder="1"/>
  </cellXfs>
  <cellStyles count="1">
    <cellStyle name="Normal" xfId="0" builtinId="0"/>
  </cellStyles>
  <dxfs count="7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FF0000"/>
      </font>
    </dxf>
    <dxf>
      <font>
        <color rgb="FFFF0000"/>
      </font>
    </dxf>
    <dxf>
      <font>
        <color rgb="FFFF0000"/>
      </font>
    </dxf>
    <dxf>
      <font>
        <color rgb="FFFF0000"/>
      </font>
    </dxf>
    <dxf>
      <font>
        <color rgb="FFFF0000"/>
      </font>
    </dxf>
    <dxf>
      <font>
        <color rgb="FFFF0000"/>
      </font>
    </dxf>
    <dxf>
      <numFmt numFmtId="164" formatCode="&quot;₹&quot;\ #,##0.00"/>
    </dxf>
    <dxf>
      <numFmt numFmtId="164" formatCode="&quot;₹&quot;\ #,##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FF0000"/>
      </font>
    </dxf>
    <dxf>
      <font>
        <color rgb="FFFF0000"/>
      </font>
    </dxf>
    <dxf>
      <font>
        <color rgb="FFFF0000"/>
      </font>
    </dxf>
    <dxf>
      <font>
        <color rgb="FFFF0000"/>
      </font>
    </dxf>
    <dxf>
      <font>
        <color rgb="FFFF0000"/>
      </font>
    </dxf>
    <dxf>
      <font>
        <color rgb="FFFF0000"/>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font>
    </dxf>
    <dxf>
      <font>
        <b/>
      </font>
    </dxf>
    <dxf>
      <font>
        <b/>
      </font>
    </dxf>
    <dxf>
      <font>
        <b val="0"/>
      </font>
    </dxf>
  </dxfs>
  <tableStyles count="0" defaultTableStyle="TableStyleMedium2" defaultPivotStyle="PivotStyleLight16"/>
  <colors>
    <mruColors>
      <color rgb="FFE4F1AF"/>
      <color rgb="FFA7A7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[Superstore-Sales-Analytics-Dashboard (2014-2017).xlsx]2. Region Analysis!PivotTable4</c:name>
    <c:fmtId val="13"/>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IN" b="1">
                <a:solidFill>
                  <a:schemeClr val="tx1"/>
                </a:solidFill>
              </a:rPr>
              <a:t>Sales &amp; Profit by Region</a:t>
            </a: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ED97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ED973"/>
          </a:solidFill>
          <a:ln>
            <a:solidFill>
              <a:schemeClr val="tx1"/>
            </a:solidFill>
          </a:ln>
          <a:effectLst/>
        </c:spPr>
      </c:pivotFmt>
      <c:pivotFmt>
        <c:idx val="5"/>
        <c:spPr>
          <a:solidFill>
            <a:srgbClr val="8ED973"/>
          </a:solidFill>
          <a:ln>
            <a:solidFill>
              <a:schemeClr val="tx1"/>
            </a:solidFill>
          </a:ln>
          <a:effectLst/>
        </c:spPr>
        <c:dLbl>
          <c:idx val="0"/>
          <c:layout>
            <c:manualLayout>
              <c:x val="0"/>
              <c:y val="-4.0950692356902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ED973"/>
          </a:solidFill>
          <a:ln>
            <a:solidFill>
              <a:schemeClr val="tx1"/>
            </a:solidFill>
          </a:ln>
          <a:effectLst/>
        </c:spPr>
      </c:pivotFmt>
    </c:pivotFmts>
    <c:plotArea>
      <c:layout>
        <c:manualLayout>
          <c:layoutTarget val="inner"/>
          <c:xMode val="edge"/>
          <c:yMode val="edge"/>
          <c:x val="0.10149415171395176"/>
          <c:y val="0.20785518115468482"/>
          <c:w val="0.8743375336963829"/>
          <c:h val="0.77511792939541735"/>
        </c:manualLayout>
      </c:layout>
      <c:barChart>
        <c:barDir val="col"/>
        <c:grouping val="clustered"/>
        <c:varyColors val="0"/>
        <c:ser>
          <c:idx val="0"/>
          <c:order val="0"/>
          <c:tx>
            <c:strRef>
              <c:f>'2. Region Analysis'!$E$9</c:f>
              <c:strCache>
                <c:ptCount val="1"/>
                <c:pt idx="0">
                  <c:v>Sum of Total Sales</c:v>
                </c:pt>
              </c:strCache>
            </c:strRef>
          </c:tx>
          <c:spPr>
            <a:solidFill>
              <a:schemeClr val="accent4">
                <a:lumMod val="60000"/>
                <a:lumOff val="4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Region Analysis'!$D$10:$D$14</c:f>
              <c:strCache>
                <c:ptCount val="4"/>
                <c:pt idx="0">
                  <c:v>West</c:v>
                </c:pt>
                <c:pt idx="1">
                  <c:v>East</c:v>
                </c:pt>
                <c:pt idx="2">
                  <c:v>Central</c:v>
                </c:pt>
                <c:pt idx="3">
                  <c:v>South</c:v>
                </c:pt>
              </c:strCache>
            </c:strRef>
          </c:cat>
          <c:val>
            <c:numRef>
              <c:f>'2. Region Analysis'!$E$10:$E$14</c:f>
              <c:numCache>
                <c:formatCode>"₹"\ #,##0.00</c:formatCode>
                <c:ptCount val="4"/>
                <c:pt idx="0">
                  <c:v>29257.834999999995</c:v>
                </c:pt>
                <c:pt idx="1">
                  <c:v>22270.339999999997</c:v>
                </c:pt>
                <c:pt idx="2">
                  <c:v>24108.272000000001</c:v>
                </c:pt>
                <c:pt idx="3">
                  <c:v>18709.806000000004</c:v>
                </c:pt>
              </c:numCache>
            </c:numRef>
          </c:val>
          <c:extLst>
            <c:ext xmlns:c16="http://schemas.microsoft.com/office/drawing/2014/chart" uri="{C3380CC4-5D6E-409C-BE32-E72D297353CC}">
              <c16:uniqueId val="{00000000-2803-421E-8E16-33A3648EC29C}"/>
            </c:ext>
          </c:extLst>
        </c:ser>
        <c:ser>
          <c:idx val="1"/>
          <c:order val="1"/>
          <c:tx>
            <c:strRef>
              <c:f>'2. Region Analysis'!$F$9</c:f>
              <c:strCache>
                <c:ptCount val="1"/>
                <c:pt idx="0">
                  <c:v>Sum of Total Profit</c:v>
                </c:pt>
              </c:strCache>
            </c:strRef>
          </c:tx>
          <c:spPr>
            <a:solidFill>
              <a:srgbClr val="8ED973"/>
            </a:solidFill>
            <a:ln>
              <a:solidFill>
                <a:schemeClr val="tx1"/>
              </a:solidFill>
            </a:ln>
            <a:effectLst/>
          </c:spPr>
          <c:invertIfNegative val="1"/>
          <c:dPt>
            <c:idx val="2"/>
            <c:invertIfNegative val="1"/>
            <c:bubble3D val="0"/>
            <c:extLst>
              <c:ext xmlns:c16="http://schemas.microsoft.com/office/drawing/2014/chart" uri="{C3380CC4-5D6E-409C-BE32-E72D297353CC}">
                <c16:uniqueId val="{00000003-2803-421E-8E16-33A3648EC29C}"/>
              </c:ext>
            </c:extLst>
          </c:dPt>
          <c:dLbls>
            <c:dLbl>
              <c:idx val="2"/>
              <c:layout>
                <c:manualLayout>
                  <c:x val="0"/>
                  <c:y val="-4.0950692356902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03-421E-8E16-33A3648EC2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'2. Region Analysis'!$D$10:$D$14</c:f>
              <c:strCache>
                <c:ptCount val="4"/>
                <c:pt idx="0">
                  <c:v>West</c:v>
                </c:pt>
                <c:pt idx="1">
                  <c:v>East</c:v>
                </c:pt>
                <c:pt idx="2">
                  <c:v>Central</c:v>
                </c:pt>
                <c:pt idx="3">
                  <c:v>South</c:v>
                </c:pt>
              </c:strCache>
            </c:strRef>
          </c:cat>
          <c:val>
            <c:numRef>
              <c:f>'2. Region Analysis'!$F$10:$F$14</c:f>
              <c:numCache>
                <c:formatCode>"₹"\ #,##0.00</c:formatCode>
                <c:ptCount val="4"/>
                <c:pt idx="0">
                  <c:v>3788.8518000000031</c:v>
                </c:pt>
                <c:pt idx="1">
                  <c:v>2448.3398999999999</c:v>
                </c:pt>
                <c:pt idx="2">
                  <c:v>-134.07379999999958</c:v>
                </c:pt>
                <c:pt idx="3">
                  <c:v>-2512.3752999999997</c:v>
                </c:pt>
              </c:numCache>
            </c:numRef>
          </c:val>
          <c:extLst>
            <c:ext xmlns:c14="http://schemas.microsoft.com/office/drawing/2007/8/2/chart" uri="{6F2FDCE9-48DA-4B69-8628-5D25D57E5C99}">
              <c14:invertSolidFillFmt>
                <c14:spPr xmlns:c14="http://schemas.microsoft.com/office/drawing/2007/8/2/chart">
                  <a:solidFill>
                    <a:srgbClr val="FF0000"/>
                  </a:solidFill>
                  <a:ln>
                    <a:solidFill>
                      <a:schemeClr val="tx1"/>
                    </a:solidFill>
                  </a:ln>
                  <a:effectLst/>
                </c14:spPr>
              </c14:invertSolidFillFmt>
            </c:ext>
            <c:ext xmlns:c16="http://schemas.microsoft.com/office/drawing/2014/chart" uri="{C3380CC4-5D6E-409C-BE32-E72D297353CC}">
              <c16:uniqueId val="{00000001-2803-421E-8E16-33A3648EC29C}"/>
            </c:ext>
          </c:extLst>
        </c:ser>
        <c:dLbls>
          <c:showLegendKey val="0"/>
          <c:showVal val="0"/>
          <c:showCatName val="0"/>
          <c:showSerName val="0"/>
          <c:showPercent val="0"/>
          <c:showBubbleSize val="0"/>
        </c:dLbls>
        <c:gapWidth val="219"/>
        <c:overlap val="-27"/>
        <c:axId val="125320431"/>
        <c:axId val="125325231"/>
      </c:barChart>
      <c:catAx>
        <c:axId val="12532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5231"/>
        <c:crosses val="autoZero"/>
        <c:auto val="1"/>
        <c:lblAlgn val="ctr"/>
        <c:lblOffset val="100"/>
        <c:noMultiLvlLbl val="0"/>
      </c:catAx>
      <c:valAx>
        <c:axId val="125325231"/>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04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[Superstore-Sales-Analytics-Dashboard (2014-2017).xlsx]3. Product 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&amp;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7D45A"/>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7D45A"/>
          </a:solidFill>
          <a:ln>
            <a:solidFill>
              <a:schemeClr val="tx1"/>
            </a:solidFill>
          </a:ln>
          <a:effectLst/>
        </c:spPr>
        <c:dLbl>
          <c:idx val="0"/>
          <c:layout>
            <c:manualLayout>
              <c:x val="-2.2547291594260462E-3"/>
              <c:y val="-0.11893612909211454"/>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7D45A"/>
          </a:solidFill>
          <a:ln>
            <a:solidFill>
              <a:schemeClr val="tx1"/>
            </a:solidFill>
          </a:ln>
          <a:effectLst/>
        </c:spPr>
        <c:dLbl>
          <c:idx val="0"/>
          <c:layout>
            <c:manualLayout>
              <c:x val="-1.1314873002475406E-3"/>
              <c:y val="-0.1189721183635725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7D45A"/>
          </a:solidFill>
          <a:ln>
            <a:solidFill>
              <a:schemeClr val="tx1"/>
            </a:solidFill>
          </a:ln>
          <a:effectLst/>
        </c:spPr>
        <c:dLbl>
          <c:idx val="0"/>
          <c:layout>
            <c:manualLayout>
              <c:x val="3.3779710186045107E-3"/>
              <c:y val="-0.1010366078662732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7D45A"/>
          </a:solidFill>
          <a:ln>
            <a:solidFill>
              <a:schemeClr val="tx1"/>
            </a:solidFill>
          </a:ln>
          <a:effectLst/>
        </c:spPr>
        <c:dLbl>
          <c:idx val="0"/>
          <c:layout>
            <c:manualLayout>
              <c:x val="2.7484803562623396E-6"/>
              <c:y val="-0.1128908662734487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7D45A"/>
          </a:solidFill>
          <a:ln>
            <a:solidFill>
              <a:schemeClr val="tx1"/>
            </a:solidFill>
          </a:ln>
          <a:effectLst/>
        </c:spPr>
        <c:dLbl>
          <c:idx val="0"/>
          <c:layout>
            <c:manualLayout>
              <c:x val="-1.1259903395348506E-3"/>
              <c:y val="-3.858330336174838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7D45A"/>
          </a:solidFill>
          <a:ln>
            <a:solidFill>
              <a:schemeClr val="tx1"/>
            </a:solidFill>
          </a:ln>
          <a:effectLst/>
        </c:spPr>
        <c:dLbl>
          <c:idx val="0"/>
          <c:layout>
            <c:manualLayout>
              <c:x val="1.5802417521023664E-2"/>
              <c:y val="-3.498127904777478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solidFill>
              <a:schemeClr val="tx1"/>
            </a:solidFill>
          </a:ln>
          <a:effectLst/>
        </c:spPr>
      </c:pivotFmt>
    </c:pivotFmts>
    <c:plotArea>
      <c:layout>
        <c:manualLayout>
          <c:layoutTarget val="inner"/>
          <c:xMode val="edge"/>
          <c:yMode val="edge"/>
          <c:x val="6.8020101144077111E-2"/>
          <c:y val="1.3066774015711598E-2"/>
          <c:w val="0.9195940051210395"/>
          <c:h val="0.83117308366313258"/>
        </c:manualLayout>
      </c:layout>
      <c:barChart>
        <c:barDir val="col"/>
        <c:grouping val="clustered"/>
        <c:varyColors val="0"/>
        <c:ser>
          <c:idx val="0"/>
          <c:order val="0"/>
          <c:tx>
            <c:strRef>
              <c:f>'3. Product Analysis'!$E$7</c:f>
              <c:strCache>
                <c:ptCount val="1"/>
                <c:pt idx="0">
                  <c:v> Sales</c:v>
                </c:pt>
              </c:strCache>
            </c:strRef>
          </c:tx>
          <c:spPr>
            <a:solidFill>
              <a:schemeClr val="accent1">
                <a:lumMod val="60000"/>
                <a:lumOff val="40000"/>
              </a:schemeClr>
            </a:solidFill>
            <a:ln>
              <a:solidFill>
                <a:schemeClr val="tx1"/>
              </a:solidFill>
            </a:ln>
            <a:effectLst/>
          </c:spPr>
          <c:invertIfNegative val="0"/>
          <c:cat>
            <c:multiLvlStrRef>
              <c:f>'3. Product Analysis'!$D$8:$D$28</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'3. Product Analysis'!$E$8:$E$28</c:f>
              <c:numCache>
                <c:formatCode>"₹"\ #,##0.00</c:formatCode>
                <c:ptCount val="17"/>
                <c:pt idx="0">
                  <c:v>2991.4679999999998</c:v>
                </c:pt>
                <c:pt idx="1">
                  <c:v>10361.618999999999</c:v>
                </c:pt>
                <c:pt idx="2">
                  <c:v>3840.4599999999991</c:v>
                </c:pt>
                <c:pt idx="3">
                  <c:v>6689.3569999999991</c:v>
                </c:pt>
                <c:pt idx="4">
                  <c:v>4835.9120000000003</c:v>
                </c:pt>
                <c:pt idx="5">
                  <c:v>2381.2559999999999</c:v>
                </c:pt>
                <c:pt idx="6">
                  <c:v>5777.9179999999988</c:v>
                </c:pt>
                <c:pt idx="7">
                  <c:v>583.14</c:v>
                </c:pt>
                <c:pt idx="8">
                  <c:v>116.38999999999999</c:v>
                </c:pt>
                <c:pt idx="9">
                  <c:v>521.82000000000005</c:v>
                </c:pt>
                <c:pt idx="10">
                  <c:v>3504.5939999999991</c:v>
                </c:pt>
                <c:pt idx="11">
                  <c:v>6723.4279999999999</c:v>
                </c:pt>
                <c:pt idx="12">
                  <c:v>4443.92</c:v>
                </c:pt>
                <c:pt idx="13">
                  <c:v>8407.5</c:v>
                </c:pt>
                <c:pt idx="14">
                  <c:v>2819.9319999999998</c:v>
                </c:pt>
                <c:pt idx="15">
                  <c:v>15437.672999999999</c:v>
                </c:pt>
                <c:pt idx="16">
                  <c:v>14909.865999999995</c:v>
                </c:pt>
              </c:numCache>
            </c:numRef>
          </c:val>
          <c:extLst>
            <c:ext xmlns:c16="http://schemas.microsoft.com/office/drawing/2014/chart" uri="{C3380CC4-5D6E-409C-BE32-E72D297353CC}">
              <c16:uniqueId val="{00000000-F870-49CB-95AF-55B977FB2C86}"/>
            </c:ext>
          </c:extLst>
        </c:ser>
        <c:ser>
          <c:idx val="1"/>
          <c:order val="1"/>
          <c:tx>
            <c:strRef>
              <c:f>'3. Product Analysis'!$F$7</c:f>
              <c:strCache>
                <c:ptCount val="1"/>
                <c:pt idx="0">
                  <c:v>Profit</c:v>
                </c:pt>
              </c:strCache>
            </c:strRef>
          </c:tx>
          <c:spPr>
            <a:solidFill>
              <a:srgbClr val="47D45A"/>
            </a:solidFill>
            <a:ln>
              <a:solidFill>
                <a:schemeClr val="tx1"/>
              </a:solidFill>
            </a:ln>
            <a:effectLst/>
          </c:spPr>
          <c:invertIfNegative val="1"/>
          <c:dPt>
            <c:idx val="0"/>
            <c:invertIfNegative val="1"/>
            <c:bubble3D val="0"/>
            <c:extLst>
              <c:ext xmlns:c16="http://schemas.microsoft.com/office/drawing/2014/chart" uri="{C3380CC4-5D6E-409C-BE32-E72D297353CC}">
                <c16:uniqueId val="{00000002-F870-49CB-95AF-55B977FB2C86}"/>
              </c:ext>
            </c:extLst>
          </c:dPt>
          <c:dPt>
            <c:idx val="3"/>
            <c:invertIfNegative val="1"/>
            <c:bubble3D val="0"/>
            <c:extLst>
              <c:ext xmlns:c16="http://schemas.microsoft.com/office/drawing/2014/chart" uri="{C3380CC4-5D6E-409C-BE32-E72D297353CC}">
                <c16:uniqueId val="{00000003-F870-49CB-95AF-55B977FB2C86}"/>
              </c:ext>
            </c:extLst>
          </c:dPt>
          <c:dPt>
            <c:idx val="4"/>
            <c:invertIfNegative val="1"/>
            <c:bubble3D val="0"/>
            <c:extLst>
              <c:ext xmlns:c16="http://schemas.microsoft.com/office/drawing/2014/chart" uri="{C3380CC4-5D6E-409C-BE32-E72D297353CC}">
                <c16:uniqueId val="{00000004-F870-49CB-95AF-55B977FB2C86}"/>
              </c:ext>
            </c:extLst>
          </c:dPt>
          <c:dPt>
            <c:idx val="7"/>
            <c:invertIfNegative val="1"/>
            <c:bubble3D val="0"/>
            <c:extLst>
              <c:ext xmlns:c16="http://schemas.microsoft.com/office/drawing/2014/chart" uri="{C3380CC4-5D6E-409C-BE32-E72D297353CC}">
                <c16:uniqueId val="{00000007-F870-49CB-95AF-55B977FB2C86}"/>
              </c:ext>
            </c:extLst>
          </c:dPt>
          <c:dPt>
            <c:idx val="12"/>
            <c:invertIfNegative val="1"/>
            <c:bubble3D val="0"/>
            <c:extLst>
              <c:ext xmlns:c16="http://schemas.microsoft.com/office/drawing/2014/chart" uri="{C3380CC4-5D6E-409C-BE32-E72D297353CC}">
                <c16:uniqueId val="{00000005-F870-49CB-95AF-55B977FB2C86}"/>
              </c:ext>
            </c:extLst>
          </c:dPt>
          <c:dPt>
            <c:idx val="15"/>
            <c:invertIfNegative val="1"/>
            <c:bubble3D val="0"/>
            <c:extLst>
              <c:ext xmlns:c16="http://schemas.microsoft.com/office/drawing/2014/chart" uri="{C3380CC4-5D6E-409C-BE32-E72D297353CC}">
                <c16:uniqueId val="{00000006-F870-49CB-95AF-55B977FB2C86}"/>
              </c:ext>
            </c:extLst>
          </c:dPt>
          <c:dLbls>
            <c:dLbl>
              <c:idx val="0"/>
              <c:layout>
                <c:manualLayout>
                  <c:x val="-2.2547291594260462E-3"/>
                  <c:y val="-0.11893612909211454"/>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70-49CB-95AF-55B977FB2C86}"/>
                </c:ext>
              </c:extLst>
            </c:dLbl>
            <c:dLbl>
              <c:idx val="3"/>
              <c:layout>
                <c:manualLayout>
                  <c:x val="-1.1314873002475406E-3"/>
                  <c:y val="-0.1189721183635725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70-49CB-95AF-55B977FB2C86}"/>
                </c:ext>
              </c:extLst>
            </c:dLbl>
            <c:dLbl>
              <c:idx val="4"/>
              <c:layout>
                <c:manualLayout>
                  <c:x val="3.3779710186045107E-3"/>
                  <c:y val="-0.1010366078662732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870-49CB-95AF-55B977FB2C86}"/>
                </c:ext>
              </c:extLst>
            </c:dLbl>
            <c:dLbl>
              <c:idx val="7"/>
              <c:layout>
                <c:manualLayout>
                  <c:x val="1.5802417521023664E-2"/>
                  <c:y val="-3.49812790477747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870-49CB-95AF-55B977FB2C86}"/>
                </c:ext>
              </c:extLst>
            </c:dLbl>
            <c:dLbl>
              <c:idx val="12"/>
              <c:layout>
                <c:manualLayout>
                  <c:x val="2.7484803562623396E-6"/>
                  <c:y val="-0.1128908662734487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70-49CB-95AF-55B977FB2C86}"/>
                </c:ext>
              </c:extLst>
            </c:dLbl>
            <c:dLbl>
              <c:idx val="15"/>
              <c:layout>
                <c:manualLayout>
                  <c:x val="-1.1259903395348506E-3"/>
                  <c:y val="-3.858330336174838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870-49CB-95AF-55B977FB2C8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'3. Product Analysis'!$D$8:$D$28</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'3. Product Analysis'!$F$8:$F$28</c:f>
              <c:numCache>
                <c:formatCode>"₹"\ #,##0.00</c:formatCode>
                <c:ptCount val="17"/>
                <c:pt idx="0">
                  <c:v>-239.83960000000002</c:v>
                </c:pt>
                <c:pt idx="1">
                  <c:v>1637.3748000000003</c:v>
                </c:pt>
                <c:pt idx="2">
                  <c:v>638.36980000000005</c:v>
                </c:pt>
                <c:pt idx="3">
                  <c:v>-323.7473</c:v>
                </c:pt>
                <c:pt idx="4">
                  <c:v>-1092.4674</c:v>
                </c:pt>
                <c:pt idx="5">
                  <c:v>459.03590000000003</c:v>
                </c:pt>
                <c:pt idx="6">
                  <c:v>552.27430000000015</c:v>
                </c:pt>
                <c:pt idx="7">
                  <c:v>205.27760000000004</c:v>
                </c:pt>
                <c:pt idx="8">
                  <c:v>28.026200000000003</c:v>
                </c:pt>
                <c:pt idx="9">
                  <c:v>239.81940000000003</c:v>
                </c:pt>
                <c:pt idx="10">
                  <c:v>1508.5275999999999</c:v>
                </c:pt>
                <c:pt idx="11">
                  <c:v>878.95460000000003</c:v>
                </c:pt>
                <c:pt idx="12">
                  <c:v>-853.53039999999999</c:v>
                </c:pt>
                <c:pt idx="13">
                  <c:v>2485.5165000000006</c:v>
                </c:pt>
                <c:pt idx="14">
                  <c:v>604.98649999999998</c:v>
                </c:pt>
                <c:pt idx="15">
                  <c:v>-5323.4585999999999</c:v>
                </c:pt>
                <c:pt idx="16">
                  <c:v>2185.6227000000008</c:v>
                </c:pt>
              </c:numCache>
            </c:numRef>
          </c:val>
          <c:extLst>
            <c:ext xmlns:c14="http://schemas.microsoft.com/office/drawing/2007/8/2/chart" uri="{6F2FDCE9-48DA-4B69-8628-5D25D57E5C99}">
              <c14:invertSolidFillFmt>
                <c14:spPr xmlns:c14="http://schemas.microsoft.com/office/drawing/2007/8/2/chart">
                  <a:solidFill>
                    <a:srgbClr val="FF0000"/>
                  </a:solidFill>
                  <a:ln>
                    <a:solidFill>
                      <a:schemeClr val="tx1"/>
                    </a:solidFill>
                  </a:ln>
                  <a:effectLst/>
                </c14:spPr>
              </c14:invertSolidFillFmt>
            </c:ext>
            <c:ext xmlns:c16="http://schemas.microsoft.com/office/drawing/2014/chart" uri="{C3380CC4-5D6E-409C-BE32-E72D297353CC}">
              <c16:uniqueId val="{00000001-F870-49CB-95AF-55B977FB2C86}"/>
            </c:ext>
          </c:extLst>
        </c:ser>
        <c:dLbls>
          <c:showLegendKey val="0"/>
          <c:showVal val="0"/>
          <c:showCatName val="0"/>
          <c:showSerName val="0"/>
          <c:showPercent val="0"/>
          <c:showBubbleSize val="0"/>
        </c:dLbls>
        <c:gapWidth val="50"/>
        <c:overlap val="-27"/>
        <c:axId val="818573007"/>
        <c:axId val="818556687"/>
      </c:barChart>
      <c:catAx>
        <c:axId val="81857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56687"/>
        <c:crosses val="autoZero"/>
        <c:auto val="1"/>
        <c:lblAlgn val="ctr"/>
        <c:lblOffset val="100"/>
        <c:tickLblSkip val="1"/>
        <c:noMultiLvlLbl val="0"/>
      </c:catAx>
      <c:valAx>
        <c:axId val="81855668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730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[Superstore-Sales-Analytics-Dashboard (2014-2017).xlsx]4. Discount 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Discount Impact on Profit (Loss after 40% discount)</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7D45A"/>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7D45A"/>
          </a:solidFill>
          <a:ln>
            <a:solidFill>
              <a:schemeClr val="tx1"/>
            </a:solidFill>
          </a:ln>
          <a:effectLst/>
        </c:spPr>
        <c:dLbl>
          <c:idx val="0"/>
          <c:layout>
            <c:manualLayout>
              <c:x val="1.4620290856119383E-2"/>
              <c:y val="-8.25118602677898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7D45A"/>
          </a:solidFill>
          <a:ln>
            <a:solidFill>
              <a:schemeClr val="tx1"/>
            </a:solidFill>
          </a:ln>
          <a:effectLst/>
        </c:spPr>
        <c:dLbl>
          <c:idx val="0"/>
          <c:layout>
            <c:manualLayout>
              <c:x val="1.686956637244549E-2"/>
              <c:y val="-1.925276739581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7D45A"/>
          </a:solidFill>
          <a:ln>
            <a:solidFill>
              <a:schemeClr val="tx1"/>
            </a:solidFill>
          </a:ln>
          <a:effectLst/>
        </c:spPr>
        <c:dLbl>
          <c:idx val="0"/>
          <c:layout>
            <c:manualLayout>
              <c:x val="1.4620290856119425E-2"/>
              <c:y val="-1.37519767112981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7D45A"/>
          </a:solidFill>
          <a:ln>
            <a:solidFill>
              <a:schemeClr val="tx1"/>
            </a:solidFill>
          </a:ln>
          <a:effectLst/>
        </c:spPr>
        <c:dLbl>
          <c:idx val="0"/>
          <c:layout>
            <c:manualLayout>
              <c:x val="1.1246377581630325E-3"/>
              <c:y val="-4.12559301338943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7D45A"/>
          </a:solidFill>
          <a:ln>
            <a:solidFill>
              <a:schemeClr val="tx1"/>
            </a:solidFill>
          </a:ln>
          <a:effectLst/>
        </c:spPr>
        <c:dLbl>
          <c:idx val="0"/>
          <c:layout>
            <c:manualLayout>
              <c:x val="1.1246377581629501E-3"/>
              <c:y val="-4.1255930133894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7D45A"/>
          </a:solidFill>
          <a:ln>
            <a:solidFill>
              <a:schemeClr val="tx1"/>
            </a:solidFill>
          </a:ln>
          <a:effectLst/>
        </c:spPr>
        <c:dLbl>
          <c:idx val="0"/>
          <c:layout>
            <c:manualLayout>
              <c:x val="1.1246377581630325E-3"/>
              <c:y val="-2.4753558080336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47D45A"/>
          </a:solidFill>
          <a:ln>
            <a:solidFill>
              <a:schemeClr val="tx1"/>
            </a:solidFill>
          </a:ln>
          <a:effectLst/>
        </c:spPr>
        <c:dLbl>
          <c:idx val="0"/>
          <c:layout>
            <c:manualLayout>
              <c:x val="2.2492755163259826E-3"/>
              <c:y val="-4.95071161606732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47D45A"/>
          </a:solidFill>
          <a:ln>
            <a:solidFill>
              <a:schemeClr val="tx1"/>
            </a:solidFill>
          </a:ln>
          <a:effectLst/>
        </c:spPr>
        <c:dLbl>
          <c:idx val="0"/>
          <c:layout>
            <c:manualLayout>
              <c:x val="2.249275516326065E-3"/>
              <c:y val="-3.57551394493751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7D45A"/>
          </a:solidFill>
          <a:ln>
            <a:solidFill>
              <a:schemeClr val="tx1"/>
            </a:solidFill>
          </a:ln>
          <a:effectLst/>
        </c:spPr>
        <c:dLbl>
          <c:idx val="0"/>
          <c:layout>
            <c:manualLayout>
              <c:x val="-1.1246377581630325E-3"/>
              <c:y val="-4.1255930133894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312306149421842E-2"/>
          <c:y val="9.316996706888854E-2"/>
          <c:w val="0.9196905917852739"/>
          <c:h val="0.87657568416625553"/>
        </c:manualLayout>
      </c:layout>
      <c:barChart>
        <c:barDir val="col"/>
        <c:grouping val="clustered"/>
        <c:varyColors val="0"/>
        <c:ser>
          <c:idx val="0"/>
          <c:order val="0"/>
          <c:tx>
            <c:strRef>
              <c:f>'4. Discount Analysis'!$D$6</c:f>
              <c:strCache>
                <c:ptCount val="1"/>
                <c:pt idx="0">
                  <c:v>Sum of Total Sales</c:v>
                </c:pt>
              </c:strCache>
            </c:strRef>
          </c:tx>
          <c:spPr>
            <a:solidFill>
              <a:schemeClr val="accent1">
                <a:lumMod val="60000"/>
                <a:lumOff val="4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Discount Analysis'!$C$7:$C$16</c:f>
              <c:strCache>
                <c:ptCount val="9"/>
                <c:pt idx="0">
                  <c:v>0-0.1</c:v>
                </c:pt>
                <c:pt idx="1">
                  <c:v>0.1-0.2</c:v>
                </c:pt>
                <c:pt idx="2">
                  <c:v>0.2-0.3</c:v>
                </c:pt>
                <c:pt idx="3">
                  <c:v>0.3-0.4</c:v>
                </c:pt>
                <c:pt idx="4">
                  <c:v>0.4-0.5</c:v>
                </c:pt>
                <c:pt idx="5">
                  <c:v>0.5-0.6</c:v>
                </c:pt>
                <c:pt idx="6">
                  <c:v>0.6-0.7</c:v>
                </c:pt>
                <c:pt idx="7">
                  <c:v>0.7-0.8</c:v>
                </c:pt>
                <c:pt idx="8">
                  <c:v>0.8-0.9</c:v>
                </c:pt>
              </c:strCache>
            </c:strRef>
          </c:cat>
          <c:val>
            <c:numRef>
              <c:f>'4. Discount Analysis'!$D$7:$D$16</c:f>
              <c:numCache>
                <c:formatCode>"₹"\ #,##0.00</c:formatCode>
                <c:ptCount val="9"/>
                <c:pt idx="0">
                  <c:v>38738.729999999996</c:v>
                </c:pt>
                <c:pt idx="1">
                  <c:v>5553.3140000000003</c:v>
                </c:pt>
                <c:pt idx="2">
                  <c:v>28786.127999999997</c:v>
                </c:pt>
                <c:pt idx="3">
                  <c:v>1678.943</c:v>
                </c:pt>
                <c:pt idx="4">
                  <c:v>4924.8279999999995</c:v>
                </c:pt>
                <c:pt idx="5">
                  <c:v>10197.074999999999</c:v>
                </c:pt>
                <c:pt idx="6">
                  <c:v>281.89999999999998</c:v>
                </c:pt>
                <c:pt idx="7">
                  <c:v>3254.2650000000003</c:v>
                </c:pt>
                <c:pt idx="8">
                  <c:v>931.07</c:v>
                </c:pt>
              </c:numCache>
            </c:numRef>
          </c:val>
          <c:extLst>
            <c:ext xmlns:c16="http://schemas.microsoft.com/office/drawing/2014/chart" uri="{C3380CC4-5D6E-409C-BE32-E72D297353CC}">
              <c16:uniqueId val="{00000000-8A28-45D8-A478-099E74D57B68}"/>
            </c:ext>
          </c:extLst>
        </c:ser>
        <c:ser>
          <c:idx val="1"/>
          <c:order val="1"/>
          <c:tx>
            <c:strRef>
              <c:f>'4. Discount Analysis'!$E$6</c:f>
              <c:strCache>
                <c:ptCount val="1"/>
                <c:pt idx="0">
                  <c:v>Sum of Total Profit</c:v>
                </c:pt>
              </c:strCache>
            </c:strRef>
          </c:tx>
          <c:spPr>
            <a:solidFill>
              <a:srgbClr val="47D45A"/>
            </a:solidFill>
            <a:ln>
              <a:solidFill>
                <a:schemeClr val="tx1"/>
              </a:solidFill>
            </a:ln>
            <a:effectLst/>
          </c:spPr>
          <c:invertIfNegative val="1"/>
          <c:dPt>
            <c:idx val="0"/>
            <c:invertIfNegative val="1"/>
            <c:bubble3D val="0"/>
            <c:extLst>
              <c:ext xmlns:c16="http://schemas.microsoft.com/office/drawing/2014/chart" uri="{C3380CC4-5D6E-409C-BE32-E72D297353CC}">
                <c16:uniqueId val="{00000004-8A28-45D8-A478-099E74D57B68}"/>
              </c:ext>
            </c:extLst>
          </c:dPt>
          <c:dPt>
            <c:idx val="1"/>
            <c:invertIfNegative val="1"/>
            <c:bubble3D val="0"/>
            <c:extLst>
              <c:ext xmlns:c16="http://schemas.microsoft.com/office/drawing/2014/chart" uri="{C3380CC4-5D6E-409C-BE32-E72D297353CC}">
                <c16:uniqueId val="{00000003-8A28-45D8-A478-099E74D57B68}"/>
              </c:ext>
            </c:extLst>
          </c:dPt>
          <c:dPt>
            <c:idx val="2"/>
            <c:invertIfNegative val="1"/>
            <c:bubble3D val="0"/>
            <c:extLst>
              <c:ext xmlns:c16="http://schemas.microsoft.com/office/drawing/2014/chart" uri="{C3380CC4-5D6E-409C-BE32-E72D297353CC}">
                <c16:uniqueId val="{00000005-8A28-45D8-A478-099E74D57B68}"/>
              </c:ext>
            </c:extLst>
          </c:dPt>
          <c:dPt>
            <c:idx val="3"/>
            <c:invertIfNegative val="1"/>
            <c:bubble3D val="0"/>
            <c:extLst>
              <c:ext xmlns:c16="http://schemas.microsoft.com/office/drawing/2014/chart" uri="{C3380CC4-5D6E-409C-BE32-E72D297353CC}">
                <c16:uniqueId val="{00000006-8A28-45D8-A478-099E74D57B68}"/>
              </c:ext>
            </c:extLst>
          </c:dPt>
          <c:dPt>
            <c:idx val="4"/>
            <c:invertIfNegative val="1"/>
            <c:bubble3D val="0"/>
            <c:extLst>
              <c:ext xmlns:c16="http://schemas.microsoft.com/office/drawing/2014/chart" uri="{C3380CC4-5D6E-409C-BE32-E72D297353CC}">
                <c16:uniqueId val="{00000007-8A28-45D8-A478-099E74D57B68}"/>
              </c:ext>
            </c:extLst>
          </c:dPt>
          <c:dPt>
            <c:idx val="5"/>
            <c:invertIfNegative val="1"/>
            <c:bubble3D val="0"/>
            <c:extLst>
              <c:ext xmlns:c16="http://schemas.microsoft.com/office/drawing/2014/chart" uri="{C3380CC4-5D6E-409C-BE32-E72D297353CC}">
                <c16:uniqueId val="{00000008-8A28-45D8-A478-099E74D57B68}"/>
              </c:ext>
            </c:extLst>
          </c:dPt>
          <c:dPt>
            <c:idx val="6"/>
            <c:invertIfNegative val="1"/>
            <c:bubble3D val="0"/>
            <c:extLst>
              <c:ext xmlns:c16="http://schemas.microsoft.com/office/drawing/2014/chart" uri="{C3380CC4-5D6E-409C-BE32-E72D297353CC}">
                <c16:uniqueId val="{00000009-8A28-45D8-A478-099E74D57B68}"/>
              </c:ext>
            </c:extLst>
          </c:dPt>
          <c:dPt>
            <c:idx val="7"/>
            <c:invertIfNegative val="1"/>
            <c:bubble3D val="0"/>
            <c:extLst>
              <c:ext xmlns:c16="http://schemas.microsoft.com/office/drawing/2014/chart" uri="{C3380CC4-5D6E-409C-BE32-E72D297353CC}">
                <c16:uniqueId val="{0000000A-8A28-45D8-A478-099E74D57B68}"/>
              </c:ext>
            </c:extLst>
          </c:dPt>
          <c:dPt>
            <c:idx val="8"/>
            <c:invertIfNegative val="1"/>
            <c:bubble3D val="0"/>
            <c:extLst>
              <c:ext xmlns:c16="http://schemas.microsoft.com/office/drawing/2014/chart" uri="{C3380CC4-5D6E-409C-BE32-E72D297353CC}">
                <c16:uniqueId val="{0000000B-8A28-45D8-A478-099E74D57B68}"/>
              </c:ext>
            </c:extLst>
          </c:dPt>
          <c:dLbls>
            <c:dLbl>
              <c:idx val="0"/>
              <c:layout>
                <c:manualLayout>
                  <c:x val="1.686956637244549E-2"/>
                  <c:y val="-1.925276739581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28-45D8-A478-099E74D57B68}"/>
                </c:ext>
              </c:extLst>
            </c:dLbl>
            <c:dLbl>
              <c:idx val="1"/>
              <c:layout>
                <c:manualLayout>
                  <c:x val="1.4620290856119383E-2"/>
                  <c:y val="-8.25118602677898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28-45D8-A478-099E74D57B68}"/>
                </c:ext>
              </c:extLst>
            </c:dLbl>
            <c:dLbl>
              <c:idx val="2"/>
              <c:layout>
                <c:manualLayout>
                  <c:x val="1.4620290856119425E-2"/>
                  <c:y val="-1.37519767112981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28-45D8-A478-099E74D57B68}"/>
                </c:ext>
              </c:extLst>
            </c:dLbl>
            <c:dLbl>
              <c:idx val="3"/>
              <c:layout>
                <c:manualLayout>
                  <c:x val="1.1246377581630325E-3"/>
                  <c:y val="-4.12559301338943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28-45D8-A478-099E74D57B68}"/>
                </c:ext>
              </c:extLst>
            </c:dLbl>
            <c:dLbl>
              <c:idx val="4"/>
              <c:layout>
                <c:manualLayout>
                  <c:x val="1.1246377581629501E-3"/>
                  <c:y val="-4.1255930133894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28-45D8-A478-099E74D57B68}"/>
                </c:ext>
              </c:extLst>
            </c:dLbl>
            <c:dLbl>
              <c:idx val="5"/>
              <c:layout>
                <c:manualLayout>
                  <c:x val="1.1246377581630325E-3"/>
                  <c:y val="-2.4753558080336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28-45D8-A478-099E74D57B68}"/>
                </c:ext>
              </c:extLst>
            </c:dLbl>
            <c:dLbl>
              <c:idx val="6"/>
              <c:layout>
                <c:manualLayout>
                  <c:x val="2.2492755163259826E-3"/>
                  <c:y val="-4.95071161606732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28-45D8-A478-099E74D57B68}"/>
                </c:ext>
              </c:extLst>
            </c:dLbl>
            <c:dLbl>
              <c:idx val="7"/>
              <c:layout>
                <c:manualLayout>
                  <c:x val="2.249275516326065E-3"/>
                  <c:y val="-3.57551394493751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28-45D8-A478-099E74D57B68}"/>
                </c:ext>
              </c:extLst>
            </c:dLbl>
            <c:dLbl>
              <c:idx val="8"/>
              <c:layout>
                <c:manualLayout>
                  <c:x val="-1.1246377581630325E-3"/>
                  <c:y val="-4.1255930133894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28-45D8-A478-099E74D57B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Discount Analysis'!$C$7:$C$16</c:f>
              <c:strCache>
                <c:ptCount val="9"/>
                <c:pt idx="0">
                  <c:v>0-0.1</c:v>
                </c:pt>
                <c:pt idx="1">
                  <c:v>0.1-0.2</c:v>
                </c:pt>
                <c:pt idx="2">
                  <c:v>0.2-0.3</c:v>
                </c:pt>
                <c:pt idx="3">
                  <c:v>0.3-0.4</c:v>
                </c:pt>
                <c:pt idx="4">
                  <c:v>0.4-0.5</c:v>
                </c:pt>
                <c:pt idx="5">
                  <c:v>0.5-0.6</c:v>
                </c:pt>
                <c:pt idx="6">
                  <c:v>0.6-0.7</c:v>
                </c:pt>
                <c:pt idx="7">
                  <c:v>0.7-0.8</c:v>
                </c:pt>
                <c:pt idx="8">
                  <c:v>0.8-0.9</c:v>
                </c:pt>
              </c:strCache>
            </c:strRef>
          </c:cat>
          <c:val>
            <c:numRef>
              <c:f>'4. Discount Analysis'!$E$7:$E$16</c:f>
              <c:numCache>
                <c:formatCode>"₹"\ #,##0.00</c:formatCode>
                <c:ptCount val="9"/>
                <c:pt idx="0">
                  <c:v>11425.459499999999</c:v>
                </c:pt>
                <c:pt idx="1">
                  <c:v>1004.841</c:v>
                </c:pt>
                <c:pt idx="2">
                  <c:v>2564.4425000000001</c:v>
                </c:pt>
                <c:pt idx="3">
                  <c:v>-255.22969999999998</c:v>
                </c:pt>
                <c:pt idx="4">
                  <c:v>-919.04489999999964</c:v>
                </c:pt>
                <c:pt idx="5">
                  <c:v>-4746.0918999999994</c:v>
                </c:pt>
                <c:pt idx="6">
                  <c:v>-232.84359999999998</c:v>
                </c:pt>
                <c:pt idx="7">
                  <c:v>-2960.5449999999992</c:v>
                </c:pt>
                <c:pt idx="8">
                  <c:v>-2290.2452999999996</c:v>
                </c:pt>
              </c:numCache>
            </c:numRef>
          </c:val>
          <c:extLst>
            <c:ext xmlns:c14="http://schemas.microsoft.com/office/drawing/2007/8/2/chart" uri="{6F2FDCE9-48DA-4B69-8628-5D25D57E5C99}">
              <c14:invertSolidFillFmt>
                <c14:spPr xmlns:c14="http://schemas.microsoft.com/office/drawing/2007/8/2/chart">
                  <a:solidFill>
                    <a:srgbClr val="FF0000"/>
                  </a:solidFill>
                  <a:ln>
                    <a:solidFill>
                      <a:schemeClr val="tx1"/>
                    </a:solidFill>
                  </a:ln>
                  <a:effectLst/>
                </c14:spPr>
              </c14:invertSolidFillFmt>
            </c:ext>
            <c:ext xmlns:c16="http://schemas.microsoft.com/office/drawing/2014/chart" uri="{C3380CC4-5D6E-409C-BE32-E72D297353CC}">
              <c16:uniqueId val="{00000001-8A28-45D8-A478-099E74D57B68}"/>
            </c:ext>
          </c:extLst>
        </c:ser>
        <c:dLbls>
          <c:showLegendKey val="0"/>
          <c:showVal val="0"/>
          <c:showCatName val="0"/>
          <c:showSerName val="0"/>
          <c:showPercent val="0"/>
          <c:showBubbleSize val="0"/>
        </c:dLbls>
        <c:gapWidth val="50"/>
        <c:overlap val="-27"/>
        <c:axId val="857483951"/>
        <c:axId val="857478191"/>
      </c:barChart>
      <c:catAx>
        <c:axId val="85748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478191"/>
        <c:crosses val="autoZero"/>
        <c:auto val="1"/>
        <c:lblAlgn val="ctr"/>
        <c:lblOffset val="100"/>
        <c:noMultiLvlLbl val="0"/>
      </c:catAx>
      <c:valAx>
        <c:axId val="85747819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4839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[Superstore-Sales-Analytics-Dashboard (2014-2017).xlsx]5. Time Analysis!PivotTable1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&amp; Profit Trend (2014–2017)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lumMod val="60000"/>
                <a:lumOff val="40000"/>
              </a:schemeClr>
            </a:solidFill>
            <a:round/>
          </a:ln>
          <a:effectLst/>
        </c:spPr>
        <c:marker>
          <c:symbol val="circle"/>
          <c:size val="5"/>
          <c:spPr>
            <a:solidFill>
              <a:schemeClr val="accent1">
                <a:lumMod val="40000"/>
                <a:lumOff val="6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a:solidFill>
              <a:srgbClr val="92D050"/>
            </a:solidFill>
            <a:round/>
          </a:ln>
          <a:effectLst/>
        </c:spPr>
        <c:marker>
          <c:symbol val="circle"/>
          <c:size val="5"/>
          <c:spPr>
            <a:solidFill>
              <a:srgbClr val="92D0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lumMod val="60000"/>
                <a:lumOff val="40000"/>
              </a:schemeClr>
            </a:solidFill>
            <a:round/>
          </a:ln>
          <a:effectLst/>
        </c:spPr>
        <c:marker>
          <c:symbol val="circle"/>
          <c:size val="5"/>
          <c:spPr>
            <a:solidFill>
              <a:schemeClr val="accent1">
                <a:lumMod val="40000"/>
                <a:lumOff val="60000"/>
              </a:schemeClr>
            </a:solidFill>
            <a:ln w="9525">
              <a:solidFill>
                <a:schemeClr val="accent1"/>
              </a:solidFill>
            </a:ln>
            <a:effectLst/>
          </c:spPr>
        </c:marker>
      </c:pivotFmt>
      <c:pivotFmt>
        <c:idx val="5"/>
        <c:spPr>
          <a:ln w="38100" cap="rnd">
            <a:solidFill>
              <a:srgbClr val="92D050"/>
            </a:solidFill>
            <a:round/>
          </a:ln>
          <a:effectLst/>
        </c:spPr>
        <c:marker>
          <c:symbol val="circle"/>
          <c:size val="5"/>
          <c:spPr>
            <a:solidFill>
              <a:srgbClr val="92D050"/>
            </a:solidFill>
            <a:ln w="9525">
              <a:solidFill>
                <a:schemeClr val="accent2"/>
              </a:solidFill>
            </a:ln>
            <a:effectLst/>
          </c:spPr>
        </c:marker>
      </c:pivotFmt>
      <c:pivotFmt>
        <c:idx val="6"/>
        <c:spPr>
          <a:ln w="38100" cap="rnd">
            <a:solidFill>
              <a:srgbClr val="92D050"/>
            </a:solidFill>
            <a:round/>
          </a:ln>
          <a:effectLst/>
        </c:spPr>
        <c:marker>
          <c:symbol val="circle"/>
          <c:size val="5"/>
          <c:spPr>
            <a:solidFill>
              <a:srgbClr val="92D050"/>
            </a:solidFill>
            <a:ln w="9525">
              <a:solidFill>
                <a:schemeClr val="accent2"/>
              </a:solidFill>
            </a:ln>
            <a:effectLst/>
          </c:spPr>
        </c:marker>
      </c:pivotFmt>
      <c:pivotFmt>
        <c:idx val="7"/>
        <c:spPr>
          <a:ln w="38100" cap="rnd">
            <a:solidFill>
              <a:srgbClr val="92D050"/>
            </a:solidFill>
            <a:round/>
          </a:ln>
          <a:effectLst/>
        </c:spPr>
        <c:marker>
          <c:symbol val="circle"/>
          <c:size val="5"/>
          <c:spPr>
            <a:solidFill>
              <a:srgbClr val="92D050"/>
            </a:solidFill>
            <a:ln w="9525">
              <a:solidFill>
                <a:schemeClr val="accent2"/>
              </a:solidFill>
            </a:ln>
            <a:effectLst/>
          </c:spPr>
        </c:marker>
      </c:pivotFmt>
      <c:pivotFmt>
        <c:idx val="8"/>
        <c:spPr>
          <a:ln w="38100" cap="rnd">
            <a:solidFill>
              <a:srgbClr val="92D050"/>
            </a:solidFill>
            <a:round/>
          </a:ln>
          <a:effectLst/>
        </c:spPr>
        <c:marker>
          <c:symbol val="circle"/>
          <c:size val="5"/>
          <c:spPr>
            <a:solidFill>
              <a:srgbClr val="92D050"/>
            </a:solidFill>
            <a:ln w="9525">
              <a:solidFill>
                <a:schemeClr val="accent2"/>
              </a:solidFill>
            </a:ln>
            <a:effectLst/>
          </c:spPr>
        </c:marker>
      </c:pivotFmt>
      <c:pivotFmt>
        <c:idx val="9"/>
        <c:spPr>
          <a:ln w="38100" cap="rnd">
            <a:solidFill>
              <a:srgbClr val="92D050"/>
            </a:solidFill>
            <a:round/>
          </a:ln>
          <a:effectLst/>
        </c:spPr>
        <c:marker>
          <c:symbol val="circle"/>
          <c:size val="5"/>
          <c:spPr>
            <a:solidFill>
              <a:srgbClr val="92D050"/>
            </a:solidFill>
            <a:ln w="9525">
              <a:solidFill>
                <a:schemeClr val="accent2"/>
              </a:solidFill>
            </a:ln>
            <a:effectLst/>
          </c:spPr>
        </c:marker>
      </c:pivotFmt>
      <c:pivotFmt>
        <c:idx val="10"/>
        <c:spPr>
          <a:ln w="38100" cap="rnd">
            <a:solidFill>
              <a:srgbClr val="92D050"/>
            </a:solidFill>
            <a:round/>
          </a:ln>
          <a:effectLst/>
        </c:spPr>
        <c:marker>
          <c:symbol val="circle"/>
          <c:size val="5"/>
          <c:spPr>
            <a:solidFill>
              <a:srgbClr val="92D050"/>
            </a:solidFill>
            <a:ln w="9525">
              <a:solidFill>
                <a:schemeClr val="accent2"/>
              </a:solidFill>
            </a:ln>
            <a:effectLst/>
          </c:spPr>
        </c:marker>
      </c:pivotFmt>
      <c:pivotFmt>
        <c:idx val="11"/>
        <c:spPr>
          <a:ln w="38100" cap="rnd">
            <a:solidFill>
              <a:srgbClr val="92D050"/>
            </a:solidFill>
            <a:round/>
          </a:ln>
          <a:effectLst/>
        </c:spPr>
        <c:marker>
          <c:symbol val="circle"/>
          <c:size val="5"/>
          <c:spPr>
            <a:solidFill>
              <a:srgbClr val="92D050"/>
            </a:solidFill>
            <a:ln w="9525">
              <a:solidFill>
                <a:schemeClr val="accent2"/>
              </a:solidFill>
            </a:ln>
            <a:effectLst/>
          </c:spPr>
        </c:marker>
      </c:pivotFmt>
      <c:pivotFmt>
        <c:idx val="12"/>
        <c:spPr>
          <a:ln w="38100" cap="rnd">
            <a:solidFill>
              <a:srgbClr val="92D050"/>
            </a:solidFill>
            <a:round/>
          </a:ln>
          <a:effectLst/>
        </c:spPr>
        <c:marker>
          <c:symbol val="circle"/>
          <c:size val="5"/>
          <c:spPr>
            <a:solidFill>
              <a:srgbClr val="92D050"/>
            </a:solidFill>
            <a:ln w="9525">
              <a:solidFill>
                <a:schemeClr val="accent2"/>
              </a:solidFill>
            </a:ln>
            <a:effectLst/>
          </c:spPr>
        </c:marker>
      </c:pivotFmt>
      <c:pivotFmt>
        <c:idx val="13"/>
        <c:spPr>
          <a:ln w="38100" cap="rnd">
            <a:solidFill>
              <a:srgbClr val="92D050"/>
            </a:solidFill>
            <a:round/>
          </a:ln>
          <a:effectLst/>
        </c:spPr>
        <c:marker>
          <c:symbol val="circle"/>
          <c:size val="5"/>
          <c:spPr>
            <a:solidFill>
              <a:srgbClr val="92D050"/>
            </a:solidFill>
            <a:ln w="9525">
              <a:solidFill>
                <a:schemeClr val="accent2"/>
              </a:solidFill>
            </a:ln>
            <a:effectLst/>
          </c:spPr>
        </c:marker>
      </c:pivotFmt>
      <c:pivotFmt>
        <c:idx val="14"/>
        <c:spPr>
          <a:ln w="38100" cap="rnd">
            <a:solidFill>
              <a:srgbClr val="92D050"/>
            </a:solidFill>
            <a:round/>
          </a:ln>
          <a:effectLst/>
        </c:spPr>
        <c:marker>
          <c:symbol val="circle"/>
          <c:size val="5"/>
          <c:spPr>
            <a:solidFill>
              <a:srgbClr val="92D050"/>
            </a:solidFill>
            <a:ln w="9525">
              <a:solidFill>
                <a:schemeClr val="accent2"/>
              </a:solidFill>
            </a:ln>
            <a:effectLst/>
          </c:spPr>
        </c:marker>
      </c:pivotFmt>
      <c:pivotFmt>
        <c:idx val="15"/>
        <c:spPr>
          <a:ln w="38100" cap="rnd">
            <a:solidFill>
              <a:srgbClr val="92D050"/>
            </a:solidFill>
            <a:round/>
          </a:ln>
          <a:effectLst/>
        </c:spPr>
        <c:marker>
          <c:symbol val="circle"/>
          <c:size val="5"/>
          <c:spPr>
            <a:solidFill>
              <a:srgbClr val="92D050"/>
            </a:solidFill>
            <a:ln w="9525">
              <a:solidFill>
                <a:schemeClr val="accent2"/>
              </a:solidFill>
            </a:ln>
            <a:effectLst/>
          </c:spPr>
        </c:marker>
      </c:pivotFmt>
      <c:pivotFmt>
        <c:idx val="16"/>
        <c:spPr>
          <a:ln w="38100" cap="rnd">
            <a:solidFill>
              <a:srgbClr val="92D050"/>
            </a:solidFill>
            <a:round/>
          </a:ln>
          <a:effectLst/>
        </c:spPr>
        <c:marker>
          <c:symbol val="circle"/>
          <c:size val="5"/>
          <c:spPr>
            <a:solidFill>
              <a:srgbClr val="92D050"/>
            </a:solidFill>
            <a:ln w="9525">
              <a:solidFill>
                <a:schemeClr val="accent2"/>
              </a:solidFill>
            </a:ln>
            <a:effectLst/>
          </c:spPr>
        </c:marker>
      </c:pivotFmt>
    </c:pivotFmts>
    <c:plotArea>
      <c:layout/>
      <c:lineChart>
        <c:grouping val="standard"/>
        <c:varyColors val="0"/>
        <c:ser>
          <c:idx val="0"/>
          <c:order val="0"/>
          <c:tx>
            <c:strRef>
              <c:f>'5. Time Analysis'!$C$5</c:f>
              <c:strCache>
                <c:ptCount val="1"/>
                <c:pt idx="0">
                  <c:v>Sum of Total Sales</c:v>
                </c:pt>
              </c:strCache>
            </c:strRef>
          </c:tx>
          <c:spPr>
            <a:ln w="38100" cap="rnd">
              <a:solidFill>
                <a:schemeClr val="accent1">
                  <a:lumMod val="60000"/>
                  <a:lumOff val="40000"/>
                </a:schemeClr>
              </a:solidFill>
              <a:round/>
            </a:ln>
            <a:effectLst/>
          </c:spPr>
          <c:marker>
            <c:symbol val="circle"/>
            <c:size val="5"/>
            <c:spPr>
              <a:solidFill>
                <a:schemeClr val="accent1">
                  <a:lumMod val="40000"/>
                  <a:lumOff val="60000"/>
                </a:schemeClr>
              </a:solidFill>
              <a:ln w="9525">
                <a:solidFill>
                  <a:schemeClr val="accent1"/>
                </a:solidFill>
              </a:ln>
              <a:effectLst/>
            </c:spPr>
          </c:marker>
          <c:cat>
            <c:multiLvlStrRef>
              <c:f>'5. Time Analysis'!$B$6:$B$55</c:f>
              <c:multiLvlStrCache>
                <c:ptCount val="45"/>
                <c:lvl>
                  <c:pt idx="0">
                    <c:v>Jan</c:v>
                  </c:pt>
                  <c:pt idx="1">
                    <c:v>Feb</c:v>
                  </c:pt>
                  <c:pt idx="2">
                    <c:v>Mar</c:v>
                  </c:pt>
                  <c:pt idx="3">
                    <c:v>Apr</c:v>
                  </c:pt>
                  <c:pt idx="4">
                    <c:v>May</c:v>
                  </c:pt>
                  <c:pt idx="5">
                    <c:v>Jun</c:v>
                  </c:pt>
                  <c:pt idx="6">
                    <c:v>Jul</c:v>
                  </c:pt>
                  <c:pt idx="7">
                    <c:v>Aug</c:v>
                  </c:pt>
                  <c:pt idx="8">
                    <c:v>Sep</c:v>
                  </c:pt>
                  <c:pt idx="9">
                    <c:v>Oct</c:v>
                  </c:pt>
                  <c:pt idx="10">
                    <c:v>Jan</c:v>
                  </c:pt>
                  <c:pt idx="11">
                    <c:v>Feb</c:v>
                  </c:pt>
                  <c:pt idx="12">
                    <c:v>Mar</c:v>
                  </c:pt>
                  <c:pt idx="13">
                    <c:v>Apr</c:v>
                  </c:pt>
                  <c:pt idx="14">
                    <c:v>May</c:v>
                  </c:pt>
                  <c:pt idx="15">
                    <c:v>Jun</c:v>
                  </c:pt>
                  <c:pt idx="16">
                    <c:v>Jul</c:v>
                  </c:pt>
                  <c:pt idx="17">
                    <c:v>Aug</c:v>
                  </c:pt>
                  <c:pt idx="18">
                    <c:v>Sep</c:v>
                  </c:pt>
                  <c:pt idx="19">
                    <c:v>Oct</c:v>
                  </c:pt>
                  <c:pt idx="20">
                    <c:v>Nov</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pt idx="36">
                    <c:v>Apr</c:v>
                  </c:pt>
                  <c:pt idx="37">
                    <c:v>May</c:v>
                  </c:pt>
                  <c:pt idx="38">
                    <c:v>Jun</c:v>
                  </c:pt>
                  <c:pt idx="39">
                    <c:v>Jul</c:v>
                  </c:pt>
                  <c:pt idx="40">
                    <c:v>Aug</c:v>
                  </c:pt>
                  <c:pt idx="41">
                    <c:v>Sep</c:v>
                  </c:pt>
                  <c:pt idx="42">
                    <c:v>Oct</c:v>
                  </c:pt>
                  <c:pt idx="43">
                    <c:v>Nov</c:v>
                  </c:pt>
                  <c:pt idx="44">
                    <c:v>Dec</c:v>
                  </c:pt>
                </c:lvl>
                <c:lvl>
                  <c:pt idx="0">
                    <c:v>2014</c:v>
                  </c:pt>
                  <c:pt idx="10">
                    <c:v>2015</c:v>
                  </c:pt>
                  <c:pt idx="21">
                    <c:v>2016</c:v>
                  </c:pt>
                  <c:pt idx="33">
                    <c:v>2017</c:v>
                  </c:pt>
                </c:lvl>
              </c:multiLvlStrCache>
            </c:multiLvlStrRef>
          </c:cat>
          <c:val>
            <c:numRef>
              <c:f>'5. Time Analysis'!$C$6:$C$55</c:f>
              <c:numCache>
                <c:formatCode>"₹"\ #,##0.00</c:formatCode>
                <c:ptCount val="45"/>
                <c:pt idx="0">
                  <c:v>4992.4099999999989</c:v>
                </c:pt>
                <c:pt idx="1">
                  <c:v>806.82799999999997</c:v>
                </c:pt>
                <c:pt idx="2">
                  <c:v>1317.075</c:v>
                </c:pt>
                <c:pt idx="3">
                  <c:v>1866.0020000000002</c:v>
                </c:pt>
                <c:pt idx="4">
                  <c:v>2104.4700000000003</c:v>
                </c:pt>
                <c:pt idx="5">
                  <c:v>430.95799999999997</c:v>
                </c:pt>
                <c:pt idx="6">
                  <c:v>424.11700000000002</c:v>
                </c:pt>
                <c:pt idx="7">
                  <c:v>1207.5439999999999</c:v>
                </c:pt>
                <c:pt idx="8">
                  <c:v>507.36</c:v>
                </c:pt>
                <c:pt idx="9">
                  <c:v>357.84399999999999</c:v>
                </c:pt>
                <c:pt idx="10">
                  <c:v>173.76799999999997</c:v>
                </c:pt>
                <c:pt idx="11">
                  <c:v>5236.7280000000001</c:v>
                </c:pt>
                <c:pt idx="12">
                  <c:v>3143.8959999999997</c:v>
                </c:pt>
                <c:pt idx="13">
                  <c:v>2589.3960000000006</c:v>
                </c:pt>
                <c:pt idx="14">
                  <c:v>2276.3020000000001</c:v>
                </c:pt>
                <c:pt idx="15">
                  <c:v>1175.3879999999999</c:v>
                </c:pt>
                <c:pt idx="16">
                  <c:v>954.64399999999989</c:v>
                </c:pt>
                <c:pt idx="17">
                  <c:v>533.38</c:v>
                </c:pt>
                <c:pt idx="18">
                  <c:v>440.82799999999997</c:v>
                </c:pt>
                <c:pt idx="19">
                  <c:v>4.4779999999999998</c:v>
                </c:pt>
                <c:pt idx="20">
                  <c:v>381.24400000000003</c:v>
                </c:pt>
                <c:pt idx="21">
                  <c:v>1090.354</c:v>
                </c:pt>
                <c:pt idx="22">
                  <c:v>926.92200000000014</c:v>
                </c:pt>
                <c:pt idx="23">
                  <c:v>9315.7820000000011</c:v>
                </c:pt>
                <c:pt idx="24">
                  <c:v>2804.6039999999998</c:v>
                </c:pt>
                <c:pt idx="25">
                  <c:v>4979.0960000000005</c:v>
                </c:pt>
                <c:pt idx="26">
                  <c:v>2268.1979999999999</c:v>
                </c:pt>
                <c:pt idx="27">
                  <c:v>2574.462</c:v>
                </c:pt>
                <c:pt idx="28">
                  <c:v>5545.0870000000004</c:v>
                </c:pt>
                <c:pt idx="29">
                  <c:v>49.951999999999998</c:v>
                </c:pt>
                <c:pt idx="30">
                  <c:v>678.37300000000005</c:v>
                </c:pt>
                <c:pt idx="31">
                  <c:v>91.204000000000008</c:v>
                </c:pt>
                <c:pt idx="32">
                  <c:v>6.48</c:v>
                </c:pt>
                <c:pt idx="33">
                  <c:v>5280.0340000000006</c:v>
                </c:pt>
                <c:pt idx="34">
                  <c:v>3275.1559999999995</c:v>
                </c:pt>
                <c:pt idx="35">
                  <c:v>4913.8170000000009</c:v>
                </c:pt>
                <c:pt idx="36">
                  <c:v>10075.319</c:v>
                </c:pt>
                <c:pt idx="37">
                  <c:v>897.48599999999999</c:v>
                </c:pt>
                <c:pt idx="38">
                  <c:v>1642.7300000000002</c:v>
                </c:pt>
                <c:pt idx="39">
                  <c:v>2592.8089999999997</c:v>
                </c:pt>
                <c:pt idx="40">
                  <c:v>2822.2740000000003</c:v>
                </c:pt>
                <c:pt idx="41">
                  <c:v>518.75800000000004</c:v>
                </c:pt>
                <c:pt idx="42">
                  <c:v>210.36</c:v>
                </c:pt>
                <c:pt idx="43">
                  <c:v>483.58599999999996</c:v>
                </c:pt>
                <c:pt idx="44">
                  <c:v>378.75</c:v>
                </c:pt>
              </c:numCache>
            </c:numRef>
          </c:val>
          <c:smooth val="0"/>
          <c:extLst>
            <c:ext xmlns:c16="http://schemas.microsoft.com/office/drawing/2014/chart" uri="{C3380CC4-5D6E-409C-BE32-E72D297353CC}">
              <c16:uniqueId val="{00000000-71D8-40D8-A8AB-BF6A09979AD8}"/>
            </c:ext>
          </c:extLst>
        </c:ser>
        <c:dLbls>
          <c:showLegendKey val="0"/>
          <c:showVal val="0"/>
          <c:showCatName val="0"/>
          <c:showSerName val="0"/>
          <c:showPercent val="0"/>
          <c:showBubbleSize val="0"/>
        </c:dLbls>
        <c:marker val="1"/>
        <c:smooth val="0"/>
        <c:axId val="929907327"/>
        <c:axId val="929907807"/>
      </c:lineChart>
      <c:lineChart>
        <c:grouping val="standard"/>
        <c:varyColors val="0"/>
        <c:ser>
          <c:idx val="1"/>
          <c:order val="1"/>
          <c:tx>
            <c:strRef>
              <c:f>'5. Time Analysis'!$D$5</c:f>
              <c:strCache>
                <c:ptCount val="1"/>
                <c:pt idx="0">
                  <c:v>Sum of Total Profit</c:v>
                </c:pt>
              </c:strCache>
            </c:strRef>
          </c:tx>
          <c:spPr>
            <a:ln w="38100" cap="rnd">
              <a:solidFill>
                <a:srgbClr val="92D050"/>
              </a:solidFill>
              <a:round/>
            </a:ln>
            <a:effectLst/>
          </c:spPr>
          <c:marker>
            <c:symbol val="circle"/>
            <c:size val="5"/>
            <c:spPr>
              <a:solidFill>
                <a:srgbClr val="92D050"/>
              </a:solidFill>
              <a:ln w="9525">
                <a:solidFill>
                  <a:schemeClr val="accent2"/>
                </a:solidFill>
              </a:ln>
              <a:effectLst/>
            </c:spPr>
          </c:marker>
          <c:cat>
            <c:multiLvlStrRef>
              <c:f>'5. Time Analysis'!$B$6:$B$55</c:f>
              <c:multiLvlStrCache>
                <c:ptCount val="45"/>
                <c:lvl>
                  <c:pt idx="0">
                    <c:v>Jan</c:v>
                  </c:pt>
                  <c:pt idx="1">
                    <c:v>Feb</c:v>
                  </c:pt>
                  <c:pt idx="2">
                    <c:v>Mar</c:v>
                  </c:pt>
                  <c:pt idx="3">
                    <c:v>Apr</c:v>
                  </c:pt>
                  <c:pt idx="4">
                    <c:v>May</c:v>
                  </c:pt>
                  <c:pt idx="5">
                    <c:v>Jun</c:v>
                  </c:pt>
                  <c:pt idx="6">
                    <c:v>Jul</c:v>
                  </c:pt>
                  <c:pt idx="7">
                    <c:v>Aug</c:v>
                  </c:pt>
                  <c:pt idx="8">
                    <c:v>Sep</c:v>
                  </c:pt>
                  <c:pt idx="9">
                    <c:v>Oct</c:v>
                  </c:pt>
                  <c:pt idx="10">
                    <c:v>Jan</c:v>
                  </c:pt>
                  <c:pt idx="11">
                    <c:v>Feb</c:v>
                  </c:pt>
                  <c:pt idx="12">
                    <c:v>Mar</c:v>
                  </c:pt>
                  <c:pt idx="13">
                    <c:v>Apr</c:v>
                  </c:pt>
                  <c:pt idx="14">
                    <c:v>May</c:v>
                  </c:pt>
                  <c:pt idx="15">
                    <c:v>Jun</c:v>
                  </c:pt>
                  <c:pt idx="16">
                    <c:v>Jul</c:v>
                  </c:pt>
                  <c:pt idx="17">
                    <c:v>Aug</c:v>
                  </c:pt>
                  <c:pt idx="18">
                    <c:v>Sep</c:v>
                  </c:pt>
                  <c:pt idx="19">
                    <c:v>Oct</c:v>
                  </c:pt>
                  <c:pt idx="20">
                    <c:v>Nov</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pt idx="36">
                    <c:v>Apr</c:v>
                  </c:pt>
                  <c:pt idx="37">
                    <c:v>May</c:v>
                  </c:pt>
                  <c:pt idx="38">
                    <c:v>Jun</c:v>
                  </c:pt>
                  <c:pt idx="39">
                    <c:v>Jul</c:v>
                  </c:pt>
                  <c:pt idx="40">
                    <c:v>Aug</c:v>
                  </c:pt>
                  <c:pt idx="41">
                    <c:v>Sep</c:v>
                  </c:pt>
                  <c:pt idx="42">
                    <c:v>Oct</c:v>
                  </c:pt>
                  <c:pt idx="43">
                    <c:v>Nov</c:v>
                  </c:pt>
                  <c:pt idx="44">
                    <c:v>Dec</c:v>
                  </c:pt>
                </c:lvl>
                <c:lvl>
                  <c:pt idx="0">
                    <c:v>2014</c:v>
                  </c:pt>
                  <c:pt idx="10">
                    <c:v>2015</c:v>
                  </c:pt>
                  <c:pt idx="21">
                    <c:v>2016</c:v>
                  </c:pt>
                  <c:pt idx="33">
                    <c:v>2017</c:v>
                  </c:pt>
                </c:lvl>
              </c:multiLvlStrCache>
            </c:multiLvlStrRef>
          </c:cat>
          <c:val>
            <c:numRef>
              <c:f>'5. Time Analysis'!$D$6:$D$55</c:f>
              <c:numCache>
                <c:formatCode>"₹"\ #,##0.00</c:formatCode>
                <c:ptCount val="45"/>
                <c:pt idx="0">
                  <c:v>1062.4985999999999</c:v>
                </c:pt>
                <c:pt idx="1">
                  <c:v>-41.920800000000014</c:v>
                </c:pt>
                <c:pt idx="2">
                  <c:v>-26.503099999999996</c:v>
                </c:pt>
                <c:pt idx="3">
                  <c:v>468.45659999999998</c:v>
                </c:pt>
                <c:pt idx="4">
                  <c:v>417.73950000000002</c:v>
                </c:pt>
                <c:pt idx="5">
                  <c:v>75.856500000000011</c:v>
                </c:pt>
                <c:pt idx="6">
                  <c:v>-173.33959999999999</c:v>
                </c:pt>
                <c:pt idx="7">
                  <c:v>-44.260799999999989</c:v>
                </c:pt>
                <c:pt idx="8">
                  <c:v>83.300399999999996</c:v>
                </c:pt>
                <c:pt idx="9">
                  <c:v>41.178200000000004</c:v>
                </c:pt>
                <c:pt idx="10">
                  <c:v>33.660400000000003</c:v>
                </c:pt>
                <c:pt idx="11">
                  <c:v>549.83180000000004</c:v>
                </c:pt>
                <c:pt idx="12">
                  <c:v>77.285500000000013</c:v>
                </c:pt>
                <c:pt idx="13">
                  <c:v>535.57899999999984</c:v>
                </c:pt>
                <c:pt idx="14">
                  <c:v>-135.55519999999999</c:v>
                </c:pt>
                <c:pt idx="15">
                  <c:v>81.065799999999996</c:v>
                </c:pt>
                <c:pt idx="16">
                  <c:v>-1100.6386</c:v>
                </c:pt>
                <c:pt idx="17">
                  <c:v>192.99250000000001</c:v>
                </c:pt>
                <c:pt idx="18">
                  <c:v>126.71090000000001</c:v>
                </c:pt>
                <c:pt idx="19">
                  <c:v>-4.1344000000000003</c:v>
                </c:pt>
                <c:pt idx="20">
                  <c:v>136.3442</c:v>
                </c:pt>
                <c:pt idx="21">
                  <c:v>80.625999999999991</c:v>
                </c:pt>
                <c:pt idx="22">
                  <c:v>13.868599999999994</c:v>
                </c:pt>
                <c:pt idx="23">
                  <c:v>-451.73899999999998</c:v>
                </c:pt>
                <c:pt idx="24">
                  <c:v>376.52750000000003</c:v>
                </c:pt>
                <c:pt idx="25">
                  <c:v>1090.9141</c:v>
                </c:pt>
                <c:pt idx="26">
                  <c:v>-615.33729999999991</c:v>
                </c:pt>
                <c:pt idx="27">
                  <c:v>686.80349999999999</c:v>
                </c:pt>
                <c:pt idx="28">
                  <c:v>726.75390000000004</c:v>
                </c:pt>
                <c:pt idx="29">
                  <c:v>15.610000000000001</c:v>
                </c:pt>
                <c:pt idx="30">
                  <c:v>-461.59659999999997</c:v>
                </c:pt>
                <c:pt idx="31">
                  <c:v>10.148099999999999</c:v>
                </c:pt>
                <c:pt idx="32">
                  <c:v>3.1103999999999998</c:v>
                </c:pt>
                <c:pt idx="33">
                  <c:v>1042.2768999999998</c:v>
                </c:pt>
                <c:pt idx="34">
                  <c:v>-386.93929999999983</c:v>
                </c:pt>
                <c:pt idx="35">
                  <c:v>1694.2826999999997</c:v>
                </c:pt>
                <c:pt idx="36">
                  <c:v>-4180.0498000000016</c:v>
                </c:pt>
                <c:pt idx="37">
                  <c:v>141.47929999999999</c:v>
                </c:pt>
                <c:pt idx="38">
                  <c:v>391.47839999999997</c:v>
                </c:pt>
                <c:pt idx="39">
                  <c:v>311.23099999999999</c:v>
                </c:pt>
                <c:pt idx="40">
                  <c:v>525.17640000000006</c:v>
                </c:pt>
                <c:pt idx="41">
                  <c:v>107.697</c:v>
                </c:pt>
                <c:pt idx="42">
                  <c:v>83.016799999999989</c:v>
                </c:pt>
                <c:pt idx="43">
                  <c:v>119.26289999999997</c:v>
                </c:pt>
                <c:pt idx="44">
                  <c:v>-90.006299999999996</c:v>
                </c:pt>
              </c:numCache>
            </c:numRef>
          </c:val>
          <c:smooth val="0"/>
          <c:extLst>
            <c:ext xmlns:c16="http://schemas.microsoft.com/office/drawing/2014/chart" uri="{C3380CC4-5D6E-409C-BE32-E72D297353CC}">
              <c16:uniqueId val="{00000001-71D8-40D8-A8AB-BF6A09979AD8}"/>
            </c:ext>
          </c:extLst>
        </c:ser>
        <c:dLbls>
          <c:showLegendKey val="0"/>
          <c:showVal val="0"/>
          <c:showCatName val="0"/>
          <c:showSerName val="0"/>
          <c:showPercent val="0"/>
          <c:showBubbleSize val="0"/>
        </c:dLbls>
        <c:marker val="1"/>
        <c:smooth val="0"/>
        <c:axId val="778622223"/>
        <c:axId val="778615503"/>
      </c:lineChart>
      <c:catAx>
        <c:axId val="92990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907807"/>
        <c:crosses val="autoZero"/>
        <c:auto val="1"/>
        <c:lblAlgn val="ctr"/>
        <c:lblOffset val="100"/>
        <c:noMultiLvlLbl val="0"/>
      </c:catAx>
      <c:valAx>
        <c:axId val="92990780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907327"/>
        <c:crosses val="autoZero"/>
        <c:crossBetween val="between"/>
      </c:valAx>
      <c:valAx>
        <c:axId val="778615503"/>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22223"/>
        <c:crosses val="max"/>
        <c:crossBetween val="between"/>
      </c:valAx>
      <c:catAx>
        <c:axId val="778622223"/>
        <c:scaling>
          <c:orientation val="minMax"/>
        </c:scaling>
        <c:delete val="1"/>
        <c:axPos val="b"/>
        <c:numFmt formatCode="General" sourceLinked="1"/>
        <c:majorTickMark val="out"/>
        <c:minorTickMark val="none"/>
        <c:tickLblPos val="nextTo"/>
        <c:crossAx val="77861550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569705</xdr:colOff>
      <xdr:row>12</xdr:row>
      <xdr:rowOff>172415</xdr:rowOff>
    </xdr:from>
    <xdr:to>
      <xdr:col>12</xdr:col>
      <xdr:colOff>82467</xdr:colOff>
      <xdr:row>38</xdr:row>
      <xdr:rowOff>107208</xdr:rowOff>
    </xdr:to>
    <xdr:graphicFrame macro="">
      <xdr:nvGraphicFramePr>
        <xdr:cNvPr id="2" name="Chart 1">
          <a:extLst>
            <a:ext uri="{FF2B5EF4-FFF2-40B4-BE49-F238E27FC236}">
              <a16:creationId xmlns:a16="http://schemas.microsoft.com/office/drawing/2014/main" id="{F9D16C43-3488-EEEE-DBCE-0F94D1687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607497</xdr:colOff>
      <xdr:row>42</xdr:row>
      <xdr:rowOff>35338</xdr:rowOff>
    </xdr:from>
    <xdr:to>
      <xdr:col>15</xdr:col>
      <xdr:colOff>107207</xdr:colOff>
      <xdr:row>71</xdr:row>
      <xdr:rowOff>79375</xdr:rowOff>
    </xdr:to>
    <xdr:graphicFrame macro="">
      <xdr:nvGraphicFramePr>
        <xdr:cNvPr id="3" name="Chart 1">
          <a:extLst>
            <a:ext uri="{FF2B5EF4-FFF2-40B4-BE49-F238E27FC236}">
              <a16:creationId xmlns:a16="http://schemas.microsoft.com/office/drawing/2014/main" id="{A23CB0CA-EF47-5627-6170-6F12D2823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23595</xdr:colOff>
      <xdr:row>75</xdr:row>
      <xdr:rowOff>91079</xdr:rowOff>
    </xdr:from>
    <xdr:to>
      <xdr:col>15</xdr:col>
      <xdr:colOff>149412</xdr:colOff>
      <xdr:row>100</xdr:row>
      <xdr:rowOff>62255</xdr:rowOff>
    </xdr:to>
    <xdr:graphicFrame macro="">
      <xdr:nvGraphicFramePr>
        <xdr:cNvPr id="4" name="Chart 1">
          <a:extLst>
            <a:ext uri="{FF2B5EF4-FFF2-40B4-BE49-F238E27FC236}">
              <a16:creationId xmlns:a16="http://schemas.microsoft.com/office/drawing/2014/main" id="{8C0BE603-A254-CC5D-28F1-91AA76EB6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43039</xdr:colOff>
      <xdr:row>103</xdr:row>
      <xdr:rowOff>63498</xdr:rowOff>
    </xdr:from>
    <xdr:to>
      <xdr:col>15</xdr:col>
      <xdr:colOff>296334</xdr:colOff>
      <xdr:row>124</xdr:row>
      <xdr:rowOff>50799</xdr:rowOff>
    </xdr:to>
    <xdr:graphicFrame macro="">
      <xdr:nvGraphicFramePr>
        <xdr:cNvPr id="5" name="Chart 1">
          <a:extLst>
            <a:ext uri="{FF2B5EF4-FFF2-40B4-BE49-F238E27FC236}">
              <a16:creationId xmlns:a16="http://schemas.microsoft.com/office/drawing/2014/main" id="{0A6877A8-927E-7E09-BBD5-0CBF8F5FE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8467</xdr:colOff>
      <xdr:row>15</xdr:row>
      <xdr:rowOff>93134</xdr:rowOff>
    </xdr:from>
    <xdr:to>
      <xdr:col>16</xdr:col>
      <xdr:colOff>8467</xdr:colOff>
      <xdr:row>23</xdr:row>
      <xdr:rowOff>42334</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624DEAD3-FAE8-4DA5-9D72-7E45C78A32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91800" y="3144054"/>
              <a:ext cx="1839311" cy="1408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25400</xdr:colOff>
      <xdr:row>27</xdr:row>
      <xdr:rowOff>76199</xdr:rowOff>
    </xdr:from>
    <xdr:to>
      <xdr:col>16</xdr:col>
      <xdr:colOff>25400</xdr:colOff>
      <xdr:row>36</xdr:row>
      <xdr:rowOff>135466</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C2C1F6D9-1B19-45F1-AA23-F70FB8DEF1F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608733" y="5316774"/>
              <a:ext cx="1839311" cy="1701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8467</xdr:colOff>
      <xdr:row>4</xdr:row>
      <xdr:rowOff>21166</xdr:rowOff>
    </xdr:from>
    <xdr:to>
      <xdr:col>16</xdr:col>
      <xdr:colOff>8467</xdr:colOff>
      <xdr:row>12</xdr:row>
      <xdr:rowOff>67733</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30CB1D67-A728-30EF-746E-47DFCFD387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91800" y="904327"/>
              <a:ext cx="1839311" cy="1666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Kumar" refreshedDate="46125.451208101855" createdVersion="8" refreshedVersion="8" minRefreshableVersion="3" recordCount="463" xr:uid="{A9CFA514-85F3-4D82-B321-D24B469D6990}">
  <cacheSource type="worksheet">
    <worksheetSource name="Sample___Superstore"/>
  </cacheSource>
  <cacheFields count="29">
    <cacheField name="Row ID" numFmtId="0">
      <sharedItems containsSemiMixedTypes="0" containsString="0" containsNumber="1" containsInteger="1" minValue="1" maxValue="9974"/>
    </cacheField>
    <cacheField name="Order ID" numFmtId="0">
      <sharedItems/>
    </cacheField>
    <cacheField name="Order Date" numFmtId="14">
      <sharedItems containsSemiMixedTypes="0" containsNonDate="0" containsDate="1" containsString="0" minDate="2014-01-02T00:00:00" maxDate="2017-12-12T00:00:00" count="257">
        <d v="2016-08-11T00:00:00"/>
        <d v="2016-05-12T00:00:00"/>
        <d v="2016-08-12T00:00:00"/>
        <d v="2014-05-12T00:00:00"/>
        <d v="2016-04-06T00:00:00"/>
        <d v="2017-09-12T00:00:00"/>
        <d v="2015-03-09T00:00:00"/>
        <d v="2016-05-04T00:00:00"/>
        <d v="2017-06-11T00:00:00"/>
        <d v="2017-09-11T00:00:00"/>
        <d v="2016-06-09T00:00:00"/>
        <d v="2016-01-12T00:00:00"/>
        <d v="2016-03-11T00:00:00"/>
        <d v="2015-02-03T00:00:00"/>
        <d v="2015-05-04T00:00:00"/>
        <d v="2017-05-11T00:00:00"/>
        <d v="2017-02-02T00:00:00"/>
        <d v="2016-05-09T00:00:00"/>
        <d v="2016-11-05T00:00:00"/>
        <d v="2016-07-11T00:00:00"/>
        <d v="2014-08-09T00:00:00"/>
        <d v="2014-05-08T00:00:00"/>
        <d v="2014-03-08T00:00:00"/>
        <d v="2017-03-06T00:00:00"/>
        <d v="2017-01-12T00:00:00"/>
        <d v="2015-02-01T00:00:00"/>
        <d v="2017-07-04T00:00:00"/>
        <d v="2017-08-06T00:00:00"/>
        <d v="2015-02-11T00:00:00"/>
        <d v="2015-04-05T00:00:00"/>
        <d v="2014-01-06T00:00:00"/>
        <d v="2014-04-11T00:00:00"/>
        <d v="2017-03-11T00:00:00"/>
        <d v="2015-01-09T00:00:00"/>
        <d v="2017-08-07T00:00:00"/>
        <d v="2017-08-03T00:00:00"/>
        <d v="2015-03-12T00:00:00"/>
        <d v="2014-07-06T00:00:00"/>
        <d v="2016-08-09T00:00:00"/>
        <d v="2017-08-12T00:00:00"/>
        <d v="2017-04-03T00:00:00"/>
        <d v="2017-01-10T00:00:00"/>
        <d v="2016-06-06T00:00:00"/>
        <d v="2016-01-04T00:00:00"/>
        <d v="2014-09-11T00:00:00"/>
        <d v="2014-06-10T00:00:00"/>
        <d v="2015-07-11T00:00:00"/>
        <d v="2017-07-09T00:00:00"/>
        <d v="2017-03-09T00:00:00"/>
        <d v="2015-07-12T00:00:00"/>
        <d v="2014-01-02T00:00:00"/>
        <d v="2017-11-09T00:00:00"/>
        <d v="2014-03-03T00:00:00"/>
        <d v="2017-07-12T00:00:00"/>
        <d v="2015-03-07T00:00:00"/>
        <d v="2015-04-10T00:00:00"/>
        <d v="2017-05-12T00:00:00"/>
        <d v="2017-04-11T00:00:00"/>
        <d v="2014-05-07T00:00:00"/>
        <d v="2016-04-11T00:00:00"/>
        <d v="2014-01-07T00:00:00"/>
        <d v="2014-02-06T00:00:00"/>
        <d v="2016-07-07T00:00:00"/>
        <d v="2016-03-12T00:00:00"/>
        <d v="2014-04-01T00:00:00"/>
        <d v="2017-02-10T00:00:00"/>
        <d v="2016-07-04T00:00:00"/>
        <d v="2015-03-10T00:00:00"/>
        <d v="2014-01-11T00:00:00"/>
        <d v="2016-07-03T00:00:00"/>
        <d v="2017-01-01T00:00:00"/>
        <d v="2014-07-02T00:00:00"/>
        <d v="2016-05-01T00:00:00"/>
        <d v="2014-06-04T00:00:00"/>
        <d v="2016-03-09T00:00:00"/>
        <d v="2016-10-11T00:00:00"/>
        <d v="2016-03-10T00:00:00"/>
        <d v="2016-10-04T00:00:00"/>
        <d v="2016-08-04T00:00:00"/>
        <d v="2017-02-09T00:00:00"/>
        <d v="2015-05-10T00:00:00"/>
        <d v="2017-03-04T00:00:00"/>
        <d v="2016-01-09T00:00:00"/>
        <d v="2017-09-04T00:00:00"/>
        <d v="2015-09-12T00:00:00"/>
        <d v="2015-10-03T00:00:00"/>
        <d v="2015-06-11T00:00:00"/>
        <d v="2015-06-07T00:00:00"/>
        <d v="2017-09-07T00:00:00"/>
        <d v="2015-04-04T00:00:00"/>
        <d v="2016-12-08T00:00:00"/>
        <d v="2016-11-12T00:00:00"/>
        <d v="2016-02-07T00:00:00"/>
        <d v="2014-01-09T00:00:00"/>
        <d v="2017-01-08T00:00:00"/>
        <d v="2015-04-07T00:00:00"/>
        <d v="2017-04-06T00:00:00"/>
        <d v="2016-02-05T00:00:00"/>
        <d v="2015-06-12T00:00:00"/>
        <d v="2017-03-07T00:00:00"/>
        <d v="2017-03-03T00:00:00"/>
        <d v="2017-09-10T00:00:00"/>
        <d v="2017-02-06T00:00:00"/>
        <d v="2014-06-05T00:00:00"/>
        <d v="2017-02-04T00:00:00"/>
        <d v="2017-02-01T00:00:00"/>
        <d v="2014-03-10T00:00:00"/>
        <d v="2017-04-05T00:00:00"/>
        <d v="2016-05-05T00:00:00"/>
        <d v="2017-07-03T00:00:00"/>
        <d v="2014-01-04T00:00:00"/>
        <d v="2014-04-08T00:00:00"/>
        <d v="2016-05-02T00:00:00"/>
        <d v="2016-01-11T00:00:00"/>
        <d v="2016-02-09T00:00:00"/>
        <d v="2017-05-08T00:00:00"/>
        <d v="2015-01-05T00:00:00"/>
        <d v="2014-04-05T00:00:00"/>
        <d v="2015-01-12T00:00:00"/>
        <d v="2016-02-12T00:00:00"/>
        <d v="2015-03-11T00:00:00"/>
        <d v="2015-01-08T00:00:00"/>
        <d v="2017-10-12T00:00:00"/>
        <d v="2016-04-12T00:00:00"/>
        <d v="2014-04-02T00:00:00"/>
        <d v="2014-03-05T00:00:00"/>
        <d v="2014-04-04T00:00:00"/>
        <d v="2015-09-11T00:00:00"/>
        <d v="2014-04-03T00:00:00"/>
        <d v="2017-11-06T00:00:00"/>
        <d v="2017-08-05T00:00:00"/>
        <d v="2016-08-05T00:00:00"/>
        <d v="2015-11-12T00:00:00"/>
        <d v="2014-02-02T00:00:00"/>
        <d v="2016-08-03T00:00:00"/>
        <d v="2016-07-02T00:00:00"/>
        <d v="2014-06-06T00:00:00"/>
        <d v="2015-08-12T00:00:00"/>
        <d v="2015-05-09T00:00:00"/>
        <d v="2014-01-12T00:00:00"/>
        <d v="2015-04-06T00:00:00"/>
        <d v="2016-08-02T00:00:00"/>
        <d v="2015-09-02T00:00:00"/>
        <d v="2017-12-11T00:00:00"/>
        <d v="2015-05-03T00:00:00"/>
        <d v="2017-02-12T00:00:00"/>
        <d v="2017-03-10T00:00:00"/>
        <d v="2015-03-02T00:00:00"/>
        <d v="2016-08-07T00:00:00"/>
        <d v="2017-06-08T00:00:00"/>
        <d v="2017-06-05T00:00:00"/>
        <d v="2015-08-05T00:00:00"/>
        <d v="2014-03-12T00:00:00"/>
        <d v="2017-03-08T00:00:00"/>
        <d v="2015-02-10T00:00:00"/>
        <d v="2017-07-11T00:00:00"/>
        <d v="2016-07-01T00:00:00"/>
        <d v="2014-01-08T00:00:00"/>
        <d v="2016-07-05T00:00:00"/>
        <d v="2015-06-09T00:00:00"/>
        <d v="2016-10-09T00:00:00"/>
        <d v="2016-01-10T00:00:00"/>
        <d v="2017-12-10T00:00:00"/>
        <d v="2015-06-03T00:00:00"/>
        <d v="2017-01-06T00:00:00"/>
        <d v="2017-08-01T00:00:00"/>
        <d v="2017-07-07T00:00:00"/>
        <d v="2017-07-10T00:00:00"/>
        <d v="2016-05-11T00:00:00"/>
        <d v="2015-02-07T00:00:00"/>
        <d v="2017-02-03T00:00:00"/>
        <d v="2017-01-11T00:00:00"/>
        <d v="2016-04-03T00:00:00"/>
        <d v="2017-01-04T00:00:00"/>
        <d v="2015-05-07T00:00:00"/>
        <d v="2014-09-09T00:00:00"/>
        <d v="2016-04-08T00:00:00"/>
        <d v="2014-04-12T00:00:00"/>
        <d v="2014-04-10T00:00:00"/>
        <d v="2014-08-08T00:00:00"/>
        <d v="2015-02-04T00:00:00"/>
        <d v="2015-01-11T00:00:00"/>
        <d v="2015-07-09T00:00:00"/>
        <d v="2017-02-11T00:00:00"/>
        <d v="2016-04-01T00:00:00"/>
        <d v="2014-02-09T00:00:00"/>
        <d v="2016-06-12T00:00:00"/>
        <d v="2017-04-12T00:00:00"/>
        <d v="2017-06-10T00:00:00"/>
        <d v="2017-10-09T00:00:00"/>
        <d v="2015-10-07T00:00:00"/>
        <d v="2017-01-09T00:00:00"/>
        <d v="2015-04-12T00:00:00"/>
        <d v="2017-10-06T00:00:00"/>
        <d v="2017-04-09T00:00:00"/>
        <d v="2016-09-08T00:00:00"/>
        <d v="2016-03-07T00:00:00"/>
        <d v="2016-05-06T00:00:00"/>
        <d v="2017-06-03T00:00:00"/>
        <d v="2014-06-08T00:00:00"/>
        <d v="2017-05-03T00:00:00"/>
        <d v="2017-06-06T00:00:00"/>
        <d v="2016-03-03T00:00:00"/>
        <d v="2017-01-05T00:00:00"/>
        <d v="2017-05-06T00:00:00"/>
        <d v="2016-01-03T00:00:00"/>
        <d v="2016-01-07T00:00:00"/>
        <d v="2015-08-07T00:00:00"/>
        <d v="2016-04-04T00:00:00"/>
        <d v="2015-04-09T00:00:00"/>
        <d v="2015-03-05T00:00:00"/>
        <d v="2015-07-04T00:00:00"/>
        <d v="2014-02-12T00:00:00"/>
        <d v="2014-03-09T00:00:00"/>
        <d v="2017-07-05T00:00:00"/>
        <d v="2016-07-10T00:00:00"/>
        <d v="2015-08-09T00:00:00"/>
        <d v="2017-04-08T00:00:00"/>
        <d v="2015-08-11T00:00:00"/>
        <d v="2017-05-05T00:00:00"/>
        <d v="2016-02-08T00:00:00"/>
        <d v="2016-08-10T00:00:00"/>
        <d v="2016-02-02T00:00:00"/>
        <d v="2015-09-06T00:00:00"/>
        <d v="2015-05-11T00:00:00"/>
        <d v="2014-03-11T00:00:00"/>
        <d v="2014-01-03T00:00:00"/>
        <d v="2016-06-02T00:00:00"/>
        <d v="2016-01-05T00:00:00"/>
        <d v="2015-07-05T00:00:00"/>
        <d v="2016-03-04T00:00:00"/>
        <d v="2017-06-07T00:00:00"/>
        <d v="2016-04-02T00:00:00"/>
        <d v="2014-02-08T00:00:00"/>
        <d v="2014-08-07T00:00:00"/>
        <d v="2017-05-10T00:00:00"/>
        <d v="2017-04-04T00:00:00"/>
        <d v="2016-09-10T00:00:00"/>
        <d v="2017-06-12T00:00:00"/>
        <d v="2017-06-02T00:00:00"/>
        <d v="2016-02-06T00:00:00"/>
        <d v="2016-10-07T00:00:00"/>
        <d v="2014-08-04T00:00:00"/>
        <d v="2016-06-10T00:00:00"/>
        <d v="2015-06-01T00:00:00"/>
        <d v="2017-03-12T00:00:00"/>
        <d v="2016-10-10T00:00:00"/>
        <d v="2015-02-08T00:00:00"/>
        <d v="2014-07-09T00:00:00"/>
        <d v="2015-11-09T00:00:00"/>
        <d v="2015-01-03T00:00:00"/>
        <d v="2014-01-10T00:00:00"/>
        <d v="2015-05-06T00:00:00"/>
        <d v="2014-10-10T00:00:00"/>
        <d v="2014-06-02T00:00:00"/>
        <d v="2016-06-05T00:00:00"/>
        <d v="2014-06-11T00:00:00"/>
      </sharedItems>
      <fieldGroup par="28"/>
    </cacheField>
    <cacheField name="Ship Date" numFmtId="14">
      <sharedItems containsSemiMixedTypes="0" containsNonDate="0" containsDate="1" containsString="0" minDate="2014-03-02T00:00:00" maxDate="2017-12-13T00:00:00"/>
    </cacheField>
    <cacheField name="Shipping Days" numFmtId="0">
      <sharedItems containsSemiMixedTypes="0" containsString="0" containsNumber="1" containsInteger="1" minValue="0" maxValue="214"/>
    </cacheField>
    <cacheField name="Customer ID" numFmtId="0">
      <sharedItems/>
    </cacheField>
    <cacheField name="Customer Name" numFmtId="0">
      <sharedItems/>
    </cacheField>
    <cacheField name="Segment" numFmtId="0">
      <sharedItems count="3">
        <s v="Consumer"/>
        <s v="Corporate"/>
        <s v="Home Office"/>
      </sharedItems>
    </cacheField>
    <cacheField name="Ship Mode" numFmtId="0">
      <sharedItems/>
    </cacheField>
    <cacheField name="Country" numFmtId="0">
      <sharedItems/>
    </cacheField>
    <cacheField name="State" numFmtId="0">
      <sharedItems/>
    </cacheField>
    <cacheField name="City" numFmtId="0">
      <sharedItems/>
    </cacheField>
    <cacheField name="Region" numFmtId="0">
      <sharedItems count="4">
        <s v="South"/>
        <s v="West"/>
        <s v="Central"/>
        <s v="East"/>
      </sharedItems>
    </cacheField>
    <cacheField name="Postal Code"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Binders"/>
        <s v="Phones"/>
        <s v="Art"/>
        <s v="Paper"/>
        <s v="Envelopes"/>
        <s v="Storage"/>
        <s v="Furnishings"/>
        <s v="Appliances"/>
        <s v="Tables"/>
        <s v="Labels"/>
        <s v="Accessories"/>
        <s v="Chairs"/>
        <s v="Machines"/>
        <s v="Fasteners"/>
        <s v="Supplies"/>
        <s v="Copiers"/>
      </sharedItems>
    </cacheField>
    <cacheField name="Product Name" numFmtId="0">
      <sharedItems/>
    </cacheField>
    <cacheField name="Total Sales" numFmtId="0">
      <sharedItems containsSemiMixedTypes="0" containsString="0" containsNumber="1" minValue="1.1120000000000001" maxValue="7999.98"/>
    </cacheField>
    <cacheField name="Total Profit" numFmtId="0">
      <sharedItems containsSemiMixedTypes="0" containsString="0" containsNumber="1" minValue="-3839.9904000000001" maxValue="843.17060000000004"/>
    </cacheField>
    <cacheField name="Profit Margin" numFmtId="0">
      <sharedItems containsSemiMixedTypes="0" containsString="0" containsNumber="1" minValue="-2.75" maxValue="0.5"/>
    </cacheField>
    <cacheField name="Order Quantity" numFmtId="0">
      <sharedItems containsSemiMixedTypes="0" containsString="0" containsNumber="1" containsInteger="1" minValue="1" maxValue="11"/>
    </cacheField>
    <cacheField name="Discount" numFmtId="0">
      <sharedItems containsSemiMixedTypes="0" containsString="0" containsNumber="1" minValue="0" maxValue="0.8" count="11">
        <n v="0"/>
        <n v="0.2"/>
        <n v="0.8"/>
        <n v="0.7"/>
        <n v="0.4"/>
        <n v="0.5"/>
        <n v="0.45"/>
        <n v="0.1"/>
        <n v="0.3"/>
        <n v="0.6"/>
        <n v="0.15"/>
      </sharedItems>
      <fieldGroup base="22">
        <rangePr autoEnd="0" startNum="0" endNum="1" groupInterval="0.1"/>
        <groupItems count="12">
          <s v="&lt;0"/>
          <s v="0-0.1"/>
          <s v="0.1-0.2"/>
          <s v="0.2-0.3"/>
          <s v="0.3-0.4"/>
          <s v="0.4-0.5"/>
          <s v="0.5-0.6"/>
          <s v="0.6-0.7"/>
          <s v="0.7-0.8"/>
          <s v="0.8-0.9"/>
          <s v="0.9-1"/>
          <s v="&gt;1"/>
        </groupItems>
      </fieldGroup>
    </cacheField>
    <cacheField name="Order Year" numFmtId="0">
      <sharedItems containsSemiMixedTypes="0" containsString="0" containsNumber="1" containsInteger="1" minValue="2014" maxValue="2017" count="4">
        <n v="2016"/>
        <n v="2014"/>
        <n v="2017"/>
        <n v="2015"/>
      </sharedItems>
    </cacheField>
    <cacheField name="Order Month" numFmtId="0">
      <sharedItems containsSemiMixedTypes="0" containsString="0" containsNumber="1" containsInteger="1" minValue="1" maxValue="12" count="12">
        <n v="8"/>
        <n v="5"/>
        <n v="4"/>
        <n v="9"/>
        <n v="3"/>
        <n v="6"/>
        <n v="1"/>
        <n v="2"/>
        <n v="11"/>
        <n v="7"/>
        <n v="10"/>
        <n v="12"/>
      </sharedItems>
    </cacheField>
    <cacheField name="Order Month Name" numFmtId="0">
      <sharedItems count="12">
        <s v="August"/>
        <s v="May"/>
        <s v="April"/>
        <s v="September"/>
        <s v="March"/>
        <s v="June"/>
        <s v="January"/>
        <s v="February"/>
        <s v="November"/>
        <s v="July"/>
        <s v="October"/>
        <s v="December"/>
      </sharedItems>
    </cacheField>
    <cacheField name="Profit Margin %" numFmtId="0" formula="'Total Profit'/'Total Sales'" databaseField="0"/>
    <cacheField name="Months (Order Date)" numFmtId="0" databaseField="0">
      <fieldGroup base="2">
        <rangePr groupBy="months" startDate="2014-01-02T00:00:00" endDate="2017-12-12T00:00:00"/>
        <groupItems count="14">
          <s v="&lt;02-01-2014"/>
          <s v="Jan"/>
          <s v="Feb"/>
          <s v="Mar"/>
          <s v="Apr"/>
          <s v="May"/>
          <s v="Jun"/>
          <s v="Jul"/>
          <s v="Aug"/>
          <s v="Sep"/>
          <s v="Oct"/>
          <s v="Nov"/>
          <s v="Dec"/>
          <s v="&gt;12-12-2017"/>
        </groupItems>
      </fieldGroup>
    </cacheField>
    <cacheField name="Years (Order Date)" numFmtId="0" databaseField="0">
      <fieldGroup base="2">
        <rangePr groupBy="years" startDate="2014-01-02T00:00:00" endDate="2017-12-12T00:00:00"/>
        <groupItems count="6">
          <s v="&lt;02-01-2014"/>
          <s v="2014"/>
          <s v="2015"/>
          <s v="2016"/>
          <s v="2017"/>
          <s v="&gt;12-12-2017"/>
        </groupItems>
      </fieldGroup>
    </cacheField>
  </cacheFields>
  <extLst>
    <ext xmlns:x14="http://schemas.microsoft.com/office/spreadsheetml/2009/9/main" uri="{725AE2AE-9491-48be-B2B4-4EB974FC3084}">
      <x14:pivotCacheDefinition pivotCacheId="13934358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3">
  <r>
    <n v="1"/>
    <s v="CA-2016-152156"/>
    <x v="0"/>
    <d v="2016-11-11T00:00:00"/>
    <n v="92"/>
    <s v="CG-12520"/>
    <s v="Claire Gute"/>
    <x v="0"/>
    <s v="Second Class"/>
    <s v="United States"/>
    <s v="Kentucky"/>
    <s v="Henderson"/>
    <x v="0"/>
    <s v="42420"/>
    <s v="FUR-BO-10001798"/>
    <x v="0"/>
    <x v="0"/>
    <s v="Bush Somerset Collection Bookcase"/>
    <n v="261.95999999999998"/>
    <n v="41.913600000000002"/>
    <n v="0.16000000000000003"/>
    <n v="2"/>
    <x v="0"/>
    <x v="0"/>
    <x v="0"/>
    <x v="0"/>
  </r>
  <r>
    <n v="14"/>
    <s v="CA-2016-161389"/>
    <x v="1"/>
    <d v="2016-10-12T00:00:00"/>
    <n v="153"/>
    <s v="IM-15070"/>
    <s v="Irene Maddox"/>
    <x v="0"/>
    <s v="Standard Class"/>
    <s v="United States"/>
    <s v="Washington"/>
    <s v="Seattle"/>
    <x v="1"/>
    <s v="98103"/>
    <s v="OFF-BI-10003656"/>
    <x v="1"/>
    <x v="1"/>
    <s v="Fellowes PB200 Plastic Comb Binding Machine"/>
    <n v="407.976"/>
    <n v="132.59219999999999"/>
    <n v="0.32499999999999996"/>
    <n v="3"/>
    <x v="1"/>
    <x v="0"/>
    <x v="1"/>
    <x v="1"/>
  </r>
  <r>
    <n v="36"/>
    <s v="CA-2016-117590"/>
    <x v="2"/>
    <d v="2016-10-12T00:00:00"/>
    <n v="61"/>
    <s v="GH-14485"/>
    <s v="Gene Hale"/>
    <x v="1"/>
    <s v="First Class"/>
    <s v="United States"/>
    <s v="Texas"/>
    <s v="Richardson"/>
    <x v="2"/>
    <s v="75080"/>
    <s v="TEC-PH-10004977"/>
    <x v="2"/>
    <x v="2"/>
    <s v="GE 30524EE4"/>
    <n v="1097.5440000000001"/>
    <n v="123.47369999999999"/>
    <n v="0.11249999999999999"/>
    <n v="7"/>
    <x v="1"/>
    <x v="0"/>
    <x v="0"/>
    <x v="0"/>
  </r>
  <r>
    <n v="68"/>
    <s v="CA-2014-106376"/>
    <x v="3"/>
    <d v="2014-10-12T00:00:00"/>
    <n v="153"/>
    <s v="BS-11590"/>
    <s v="Brendan Sweed"/>
    <x v="1"/>
    <s v="Standard Class"/>
    <s v="United States"/>
    <s v="Arizona"/>
    <s v="Gilbert"/>
    <x v="1"/>
    <s v="85234"/>
    <s v="OFF-AR-10002671"/>
    <x v="1"/>
    <x v="3"/>
    <s v="Hunt BOSTON Model 1606 High-Volume Electric Pencil Sharpener, Beige"/>
    <n v="1113.0239999999999"/>
    <n v="111.30240000000001"/>
    <n v="0.10000000000000002"/>
    <n v="8"/>
    <x v="1"/>
    <x v="1"/>
    <x v="1"/>
    <x v="1"/>
  </r>
  <r>
    <n v="70"/>
    <s v="CA-2016-119823"/>
    <x v="4"/>
    <d v="2016-06-06T00:00:00"/>
    <n v="61"/>
    <s v="KD-16270"/>
    <s v="Karen Daniels"/>
    <x v="0"/>
    <s v="First Class"/>
    <s v="United States"/>
    <s v="Virginia"/>
    <s v="Springfield"/>
    <x v="0"/>
    <s v="22153"/>
    <s v="OFF-PA-10000482"/>
    <x v="1"/>
    <x v="4"/>
    <s v="Snap-A-Way Black Print Carbonless Ruled Speed Letter, Triplicate"/>
    <n v="75.88"/>
    <n v="35.663600000000002"/>
    <n v="0.47000000000000008"/>
    <n v="2"/>
    <x v="0"/>
    <x v="0"/>
    <x v="2"/>
    <x v="2"/>
  </r>
  <r>
    <n v="76"/>
    <s v="US-2017-118038"/>
    <x v="5"/>
    <d v="2017-11-12T00:00:00"/>
    <n v="61"/>
    <s v="KB-16600"/>
    <s v="Ken Brennan"/>
    <x v="1"/>
    <s v="First Class"/>
    <s v="United States"/>
    <s v="Texas"/>
    <s v="Houston"/>
    <x v="2"/>
    <s v="77041"/>
    <s v="OFF-BI-10004182"/>
    <x v="1"/>
    <x v="1"/>
    <s v="Economy Binders"/>
    <n v="1.248"/>
    <n v="-1.9343999999999999"/>
    <n v="-1.5499999999999998"/>
    <n v="3"/>
    <x v="2"/>
    <x v="2"/>
    <x v="3"/>
    <x v="3"/>
  </r>
  <r>
    <n v="84"/>
    <s v="CA-2015-149734"/>
    <x v="6"/>
    <d v="2015-08-09T00:00:00"/>
    <n v="153"/>
    <s v="JC-16105"/>
    <s v="Julie Creighton"/>
    <x v="1"/>
    <s v="Standard Class"/>
    <s v="United States"/>
    <s v="North Carolina"/>
    <s v="Durham"/>
    <x v="0"/>
    <s v="27707"/>
    <s v="OFF-EN-10000927"/>
    <x v="1"/>
    <x v="5"/>
    <s v="Jet-Pak Recycled Peel 'N' Seal Padded Mailers"/>
    <n v="200.98400000000001"/>
    <n v="62.807499999999997"/>
    <n v="0.3125"/>
    <n v="7"/>
    <x v="1"/>
    <x v="3"/>
    <x v="4"/>
    <x v="4"/>
  </r>
  <r>
    <n v="89"/>
    <s v="CA-2016-159695"/>
    <x v="7"/>
    <d v="2016-10-04T00:00:00"/>
    <n v="153"/>
    <s v="GM-14455"/>
    <s v="Gary Mitchum"/>
    <x v="2"/>
    <s v="Second Class"/>
    <s v="United States"/>
    <s v="Texas"/>
    <s v="Houston"/>
    <x v="2"/>
    <s v="77095"/>
    <s v="OFF-ST-10003442"/>
    <x v="1"/>
    <x v="6"/>
    <s v="Eldon Portable Mobile Manager"/>
    <n v="158.36799999999999"/>
    <n v="13.857200000000001"/>
    <n v="8.7500000000000008E-2"/>
    <n v="7"/>
    <x v="1"/>
    <x v="0"/>
    <x v="1"/>
    <x v="1"/>
  </r>
  <r>
    <n v="96"/>
    <s v="US-2017-109484"/>
    <x v="8"/>
    <d v="2017-12-11T00:00:00"/>
    <n v="183"/>
    <s v="RB-19705"/>
    <s v="Roger Barcio"/>
    <x v="2"/>
    <s v="Standard Class"/>
    <s v="United States"/>
    <s v="Oregon"/>
    <s v="Portland"/>
    <x v="1"/>
    <s v="97206"/>
    <s v="OFF-BI-10004738"/>
    <x v="1"/>
    <x v="1"/>
    <s v="Flexible Leather- Look Classic Collection Ring Binder"/>
    <n v="5.6820000000000004"/>
    <n v="-3.7879999999999998"/>
    <n v="-0.66666666666666663"/>
    <n v="1"/>
    <x v="3"/>
    <x v="2"/>
    <x v="5"/>
    <x v="5"/>
  </r>
  <r>
    <n v="97"/>
    <s v="CA-2017-161018"/>
    <x v="9"/>
    <d v="2017-11-11T00:00:00"/>
    <n v="61"/>
    <s v="PN-18775"/>
    <s v="Parhena Norris"/>
    <x v="2"/>
    <s v="Second Class"/>
    <s v="United States"/>
    <s v="New York"/>
    <s v="New York City"/>
    <x v="3"/>
    <s v="10009"/>
    <s v="FUR-FU-10000629"/>
    <x v="0"/>
    <x v="7"/>
    <s v="9-3/4 Diameter Round Wall Clock"/>
    <n v="96.53"/>
    <n v="40.5426"/>
    <n v="0.42"/>
    <n v="7"/>
    <x v="0"/>
    <x v="2"/>
    <x v="3"/>
    <x v="3"/>
  </r>
  <r>
    <n v="99"/>
    <s v="CA-2016-149223"/>
    <x v="10"/>
    <d v="2016-11-09T00:00:00"/>
    <n v="153"/>
    <s v="ER-13855"/>
    <s v="Elpida Rittenbach"/>
    <x v="1"/>
    <s v="Standard Class"/>
    <s v="United States"/>
    <s v="Minnesota"/>
    <s v="Saint Paul"/>
    <x v="2"/>
    <s v="55106"/>
    <s v="OFF-AP-10000358"/>
    <x v="1"/>
    <x v="8"/>
    <s v="Fellowes Basic Home/Office Series Surge Protectors"/>
    <n v="77.88"/>
    <n v="22.5852"/>
    <n v="0.29000000000000004"/>
    <n v="6"/>
    <x v="0"/>
    <x v="0"/>
    <x v="5"/>
    <x v="5"/>
  </r>
  <r>
    <n v="103"/>
    <s v="CA-2016-129903"/>
    <x v="11"/>
    <d v="2016-04-12T00:00:00"/>
    <n v="91"/>
    <s v="GZ-14470"/>
    <s v="Gary Zandusky"/>
    <x v="0"/>
    <s v="Second Class"/>
    <s v="United States"/>
    <s v="Minnesota"/>
    <s v="Rochester"/>
    <x v="2"/>
    <s v="55901"/>
    <s v="OFF-PA-10004040"/>
    <x v="1"/>
    <x v="4"/>
    <s v="Universal Premium White Copier/Laser Paper (20Lb. and 87 Bright)"/>
    <n v="23.92"/>
    <n v="11.720800000000001"/>
    <n v="0.49"/>
    <n v="4"/>
    <x v="0"/>
    <x v="0"/>
    <x v="6"/>
    <x v="6"/>
  </r>
  <r>
    <n v="112"/>
    <s v="CA-2016-128867"/>
    <x v="12"/>
    <d v="2016-10-11T00:00:00"/>
    <n v="214"/>
    <s v="CL-12565"/>
    <s v="Clay Ludtke"/>
    <x v="0"/>
    <s v="Standard Class"/>
    <s v="United States"/>
    <s v="Iowa"/>
    <s v="Urbandale"/>
    <x v="2"/>
    <s v="50322"/>
    <s v="OFF-AR-10000380"/>
    <x v="1"/>
    <x v="3"/>
    <s v="Hunt PowerHouse Electric Pencil Sharpener, Blue"/>
    <n v="75.959999999999994"/>
    <n v="22.788"/>
    <n v="0.30000000000000004"/>
    <n v="2"/>
    <x v="0"/>
    <x v="0"/>
    <x v="4"/>
    <x v="4"/>
  </r>
  <r>
    <n v="118"/>
    <s v="CA-2015-110457"/>
    <x v="13"/>
    <d v="2015-06-03T00:00:00"/>
    <n v="120"/>
    <s v="DK-13090"/>
    <s v="Dave Kipp"/>
    <x v="0"/>
    <s v="Standard Class"/>
    <s v="United States"/>
    <s v="Washington"/>
    <s v="Seattle"/>
    <x v="1"/>
    <s v="98103"/>
    <s v="FUR-TA-10001768"/>
    <x v="0"/>
    <x v="9"/>
    <s v="Hon Racetrack Conference Tables"/>
    <n v="787.53"/>
    <n v="165.38130000000001"/>
    <n v="0.21000000000000002"/>
    <n v="3"/>
    <x v="0"/>
    <x v="3"/>
    <x v="7"/>
    <x v="7"/>
  </r>
  <r>
    <n v="119"/>
    <s v="US-2015-136476"/>
    <x v="14"/>
    <d v="2015-10-04T00:00:00"/>
    <n v="153"/>
    <s v="GG-14650"/>
    <s v="Greg Guthrie"/>
    <x v="1"/>
    <s v="Standard Class"/>
    <s v="United States"/>
    <s v="Tennessee"/>
    <s v="Bristol"/>
    <x v="0"/>
    <s v="37620"/>
    <s v="OFF-BI-10003650"/>
    <x v="1"/>
    <x v="1"/>
    <s v="GBC DocuBind 300 Electric Binding Machine"/>
    <n v="157.79400000000001"/>
    <n v="-115.71559999999999"/>
    <n v="-0.73333333333333328"/>
    <n v="1"/>
    <x v="3"/>
    <x v="3"/>
    <x v="1"/>
    <x v="1"/>
  </r>
  <r>
    <n v="127"/>
    <s v="US-2017-107272"/>
    <x v="15"/>
    <d v="2017-12-11T00:00:00"/>
    <n v="214"/>
    <s v="TS-21610"/>
    <s v="Troy Staebel"/>
    <x v="0"/>
    <s v="Standard Class"/>
    <s v="United States"/>
    <s v="Arizona"/>
    <s v="Phoenix"/>
    <x v="1"/>
    <s v="85023"/>
    <s v="OFF-BI-10003274"/>
    <x v="1"/>
    <x v="1"/>
    <s v="Avery Durable Slant Ring Binders, No Labels"/>
    <n v="2.3879999999999999"/>
    <n v="-1.8308"/>
    <n v="-0.76666666666666672"/>
    <n v="2"/>
    <x v="3"/>
    <x v="2"/>
    <x v="1"/>
    <x v="1"/>
  </r>
  <r>
    <n v="131"/>
    <s v="US-2017-164147"/>
    <x v="16"/>
    <d v="2017-05-02T00:00:00"/>
    <n v="89"/>
    <s v="DW-13585"/>
    <s v="Dorothy Wardle"/>
    <x v="1"/>
    <s v="First Class"/>
    <s v="United States"/>
    <s v="Ohio"/>
    <s v="Columbus"/>
    <x v="3"/>
    <s v="43229"/>
    <s v="TEC-PH-10002293"/>
    <x v="2"/>
    <x v="2"/>
    <s v="Anker 36W 4-Port USB Wall Charger Travel Power Adapter for iPhone 5s 5c 5"/>
    <n v="59.97"/>
    <n v="-11.994"/>
    <n v="-0.2"/>
    <n v="5"/>
    <x v="4"/>
    <x v="2"/>
    <x v="7"/>
    <x v="7"/>
  </r>
  <r>
    <n v="141"/>
    <s v="CA-2016-110366"/>
    <x v="17"/>
    <d v="2016-07-09T00:00:00"/>
    <n v="61"/>
    <s v="JD-15895"/>
    <s v="Jonathan Doherty"/>
    <x v="1"/>
    <s v="Second Class"/>
    <s v="United States"/>
    <s v="Pennsylvania"/>
    <s v="Philadelphia"/>
    <x v="3"/>
    <s v="19140"/>
    <s v="FUR-FU-10004848"/>
    <x v="0"/>
    <x v="7"/>
    <s v="Howard Miller 13-3/4&quot; Diameter Brushed Chrome Round Wall Clock"/>
    <n v="82.8"/>
    <n v="10.35"/>
    <n v="0.125"/>
    <n v="2"/>
    <x v="1"/>
    <x v="0"/>
    <x v="1"/>
    <x v="1"/>
  </r>
  <r>
    <n v="148"/>
    <s v="CA-2016-114489"/>
    <x v="1"/>
    <d v="2016-09-12T00:00:00"/>
    <n v="123"/>
    <s v="JE-16165"/>
    <s v="Justin Ellison"/>
    <x v="1"/>
    <s v="Standard Class"/>
    <s v="United States"/>
    <s v="Wisconsin"/>
    <s v="Franklin"/>
    <x v="2"/>
    <s v="53132"/>
    <s v="TEC-PH-10000215"/>
    <x v="2"/>
    <x v="2"/>
    <s v="Plantronics Cordless Phone Headset with In-line Volume - M214C"/>
    <n v="384.45"/>
    <n v="103.8015"/>
    <n v="0.27"/>
    <n v="11"/>
    <x v="0"/>
    <x v="0"/>
    <x v="1"/>
    <x v="1"/>
  </r>
  <r>
    <n v="161"/>
    <s v="CA-2016-162733"/>
    <x v="18"/>
    <d v="2016-12-05T00:00:00"/>
    <n v="30"/>
    <s v="TT-21070"/>
    <s v="Ted Trevino"/>
    <x v="0"/>
    <s v="First Class"/>
    <s v="United States"/>
    <s v="California"/>
    <s v="Los Angeles"/>
    <x v="1"/>
    <s v="90045"/>
    <s v="OFF-PA-10002751"/>
    <x v="1"/>
    <x v="4"/>
    <s v="Xerox 1920"/>
    <n v="5.98"/>
    <n v="2.6909999999999998"/>
    <n v="0.44999999999999996"/>
    <n v="1"/>
    <x v="0"/>
    <x v="0"/>
    <x v="8"/>
    <x v="8"/>
  </r>
  <r>
    <n v="164"/>
    <s v="CA-2016-113817"/>
    <x v="19"/>
    <d v="2016-11-11T00:00:00"/>
    <n v="123"/>
    <s v="MJ-17740"/>
    <s v="Max Jones"/>
    <x v="0"/>
    <s v="Standard Class"/>
    <s v="United States"/>
    <s v="Washington"/>
    <s v="Seattle"/>
    <x v="1"/>
    <s v="98115"/>
    <s v="OFF-BI-10004002"/>
    <x v="1"/>
    <x v="1"/>
    <s v="Wilson Jones International Size A4 Ring Binders"/>
    <n v="27.68"/>
    <n v="9.6880000000000006"/>
    <n v="0.35000000000000003"/>
    <n v="2"/>
    <x v="1"/>
    <x v="0"/>
    <x v="9"/>
    <x v="9"/>
  </r>
  <r>
    <n v="165"/>
    <s v="CA-2014-139892"/>
    <x v="20"/>
    <d v="2014-12-09T00:00:00"/>
    <n v="122"/>
    <s v="BM-11140"/>
    <s v="Becky Martin"/>
    <x v="0"/>
    <s v="Standard Class"/>
    <s v="United States"/>
    <s v="Texas"/>
    <s v="San Antonio"/>
    <x v="2"/>
    <s v="78207"/>
    <s v="OFF-AR-10004441"/>
    <x v="1"/>
    <x v="3"/>
    <s v="BIC Brite Liner Highlighters"/>
    <n v="9.9359999999999999"/>
    <n v="2.7324000000000002"/>
    <n v="0.27500000000000002"/>
    <n v="3"/>
    <x v="1"/>
    <x v="1"/>
    <x v="0"/>
    <x v="0"/>
  </r>
  <r>
    <n v="172"/>
    <s v="CA-2014-118962"/>
    <x v="21"/>
    <d v="2014-09-08T00:00:00"/>
    <n v="123"/>
    <s v="CS-12130"/>
    <s v="Chad Sievert"/>
    <x v="0"/>
    <s v="Standard Class"/>
    <s v="United States"/>
    <s v="California"/>
    <s v="Los Angeles"/>
    <x v="1"/>
    <s v="90004"/>
    <s v="OFF-PA-10000659"/>
    <x v="1"/>
    <x v="4"/>
    <s v="Adams Phone Message Book, Professional, 400 Message Capacity, 5 3/6” x 11”"/>
    <n v="20.94"/>
    <n v="9.8417999999999992"/>
    <n v="0.46999999999999992"/>
    <n v="3"/>
    <x v="0"/>
    <x v="1"/>
    <x v="1"/>
    <x v="1"/>
  </r>
  <r>
    <n v="181"/>
    <s v="CA-2014-166191"/>
    <x v="3"/>
    <d v="2014-09-12T00:00:00"/>
    <n v="123"/>
    <s v="DK-13150"/>
    <s v="David Kendrick"/>
    <x v="1"/>
    <s v="Second Class"/>
    <s v="United States"/>
    <s v="Illinois"/>
    <s v="Decatur"/>
    <x v="2"/>
    <s v="62521"/>
    <s v="OFF-ST-10003455"/>
    <x v="1"/>
    <x v="6"/>
    <s v="Tenex File Box, Personal Filing Tote with Lid, Black"/>
    <n v="24.815999999999999"/>
    <n v="1.8612"/>
    <n v="7.4999999999999997E-2"/>
    <n v="2"/>
    <x v="1"/>
    <x v="1"/>
    <x v="1"/>
    <x v="1"/>
  </r>
  <r>
    <n v="202"/>
    <s v="CA-2014-133690"/>
    <x v="22"/>
    <d v="2014-05-08T00:00:00"/>
    <n v="61"/>
    <s v="BS-11755"/>
    <s v="Bruce Stewart"/>
    <x v="0"/>
    <s v="First Class"/>
    <s v="United States"/>
    <s v="Colorado"/>
    <s v="Denver"/>
    <x v="1"/>
    <s v="80219"/>
    <s v="FUR-TA-10004289"/>
    <x v="0"/>
    <x v="9"/>
    <s v="BoxOffice By Design Rectangular and Half-Moon Meeting Room Tables"/>
    <n v="218.75"/>
    <n v="-161.875"/>
    <n v="-0.74"/>
    <n v="2"/>
    <x v="5"/>
    <x v="1"/>
    <x v="4"/>
    <x v="4"/>
  </r>
  <r>
    <n v="205"/>
    <s v="CA-2017-126382"/>
    <x v="23"/>
    <d v="2017-07-06T00:00:00"/>
    <n v="122"/>
    <s v="HK-14890"/>
    <s v="Heather Kirkland"/>
    <x v="1"/>
    <s v="Standard Class"/>
    <s v="United States"/>
    <s v="Tennessee"/>
    <s v="Franklin"/>
    <x v="0"/>
    <s v="37064"/>
    <s v="FUR-FU-10002960"/>
    <x v="0"/>
    <x v="7"/>
    <s v="Eldon 200 Class Desk Accessories, Burgundy"/>
    <n v="35.167999999999999"/>
    <n v="9.6712000000000007"/>
    <n v="0.27500000000000002"/>
    <n v="7"/>
    <x v="1"/>
    <x v="2"/>
    <x v="4"/>
    <x v="4"/>
  </r>
  <r>
    <n v="207"/>
    <s v="CA-2017-135860"/>
    <x v="24"/>
    <d v="2017-07-12T00:00:00"/>
    <n v="181"/>
    <s v="JH-15985"/>
    <s v="Joseph Holt"/>
    <x v="0"/>
    <s v="Standard Class"/>
    <s v="United States"/>
    <s v="Michigan"/>
    <s v="Saginaw"/>
    <x v="2"/>
    <s v="48601"/>
    <s v="OFF-ST-10000642"/>
    <x v="1"/>
    <x v="6"/>
    <s v="Tennsco Lockers, Gray"/>
    <n v="83.92"/>
    <n v="5.8743999999999996"/>
    <n v="6.9999999999999993E-2"/>
    <n v="4"/>
    <x v="0"/>
    <x v="2"/>
    <x v="6"/>
    <x v="6"/>
  </r>
  <r>
    <n v="213"/>
    <s v="CA-2015-146262"/>
    <x v="25"/>
    <d v="2015-09-01T00:00:00"/>
    <n v="212"/>
    <s v="VW-21775"/>
    <s v="Victoria Wilson"/>
    <x v="1"/>
    <s v="Standard Class"/>
    <s v="United States"/>
    <s v="Ohio"/>
    <s v="Medina"/>
    <x v="3"/>
    <s v="44256"/>
    <s v="OFF-LA-10004544"/>
    <x v="1"/>
    <x v="10"/>
    <s v="Avery 505"/>
    <n v="23.68"/>
    <n v="8.8800000000000008"/>
    <n v="0.37500000000000006"/>
    <n v="2"/>
    <x v="1"/>
    <x v="3"/>
    <x v="7"/>
    <x v="7"/>
  </r>
  <r>
    <n v="232"/>
    <s v="US-2017-100930"/>
    <x v="26"/>
    <d v="2017-12-04T00:00:00"/>
    <n v="153"/>
    <s v="CS-12400"/>
    <s v="Christopher Schild"/>
    <x v="2"/>
    <s v="Standard Class"/>
    <s v="United States"/>
    <s v="Florida"/>
    <s v="Tampa"/>
    <x v="0"/>
    <s v="33614"/>
    <s v="FUR-TA-10001705"/>
    <x v="0"/>
    <x v="9"/>
    <s v="Bush Advantage Collection Round Conference Table"/>
    <n v="233.86"/>
    <n v="-102.048"/>
    <n v="-0.43636363636363634"/>
    <n v="2"/>
    <x v="6"/>
    <x v="2"/>
    <x v="9"/>
    <x v="9"/>
  </r>
  <r>
    <n v="238"/>
    <s v="CA-2016-157749"/>
    <x v="4"/>
    <d v="2016-09-06T00:00:00"/>
    <n v="153"/>
    <s v="KL-16645"/>
    <s v="Ken Lonsdale"/>
    <x v="0"/>
    <s v="Second Class"/>
    <s v="United States"/>
    <s v="Illinois"/>
    <s v="Chicago"/>
    <x v="2"/>
    <s v="60610"/>
    <s v="OFF-PA-10003349"/>
    <x v="1"/>
    <x v="4"/>
    <s v="Xerox 1957"/>
    <n v="25.92"/>
    <n v="9.3960000000000008"/>
    <n v="0.36249999999999999"/>
    <n v="5"/>
    <x v="1"/>
    <x v="0"/>
    <x v="2"/>
    <x v="2"/>
  </r>
  <r>
    <n v="259"/>
    <s v="CA-2017-163139"/>
    <x v="24"/>
    <d v="2017-03-12T00:00:00"/>
    <n v="59"/>
    <s v="CC-12670"/>
    <s v="Craig Carreira"/>
    <x v="0"/>
    <s v="Second Class"/>
    <s v="United States"/>
    <s v="New York"/>
    <s v="New York City"/>
    <x v="3"/>
    <s v="10009"/>
    <s v="TEC-AC-10000290"/>
    <x v="2"/>
    <x v="11"/>
    <s v="Sabrent 4-Port USB 2.0 Hub"/>
    <n v="20.37"/>
    <n v="6.9257999999999997"/>
    <n v="0.33999999999999997"/>
    <n v="3"/>
    <x v="0"/>
    <x v="2"/>
    <x v="6"/>
    <x v="6"/>
  </r>
  <r>
    <n v="262"/>
    <s v="US-2017-155299"/>
    <x v="27"/>
    <d v="2017-12-06T00:00:00"/>
    <n v="122"/>
    <s v="Dl-13600"/>
    <s v="Dorris liebe"/>
    <x v="1"/>
    <s v="Standard Class"/>
    <s v="United States"/>
    <s v="Texas"/>
    <s v="Pasadena"/>
    <x v="2"/>
    <s v="77506"/>
    <s v="OFF-AP-10002203"/>
    <x v="1"/>
    <x v="8"/>
    <s v="Eureka Disposable Bags for Sanitaire Vibra Groomer I Upright Vac"/>
    <n v="1.6240000000000001"/>
    <n v="-4.4660000000000002"/>
    <n v="-2.75"/>
    <n v="2"/>
    <x v="2"/>
    <x v="2"/>
    <x v="0"/>
    <x v="0"/>
  </r>
  <r>
    <n v="283"/>
    <s v="CA-2015-130890"/>
    <x v="28"/>
    <d v="2015-06-11T00:00:00"/>
    <n v="120"/>
    <s v="JO-15280"/>
    <s v="Jas O'Carroll"/>
    <x v="0"/>
    <s v="Standard Class"/>
    <s v="United States"/>
    <s v="California"/>
    <s v="Los Angeles"/>
    <x v="1"/>
    <s v="90004"/>
    <s v="FUR-TA-10002903"/>
    <x v="0"/>
    <x v="9"/>
    <s v="Bevis Round Bullnose 29&quot; High Table Top"/>
    <n v="1038.8399999999999"/>
    <n v="51.942"/>
    <n v="0.05"/>
    <n v="5"/>
    <x v="1"/>
    <x v="3"/>
    <x v="7"/>
    <x v="7"/>
  </r>
  <r>
    <n v="305"/>
    <s v="CA-2015-144253"/>
    <x v="29"/>
    <d v="2015-09-05T00:00:00"/>
    <n v="153"/>
    <s v="AS-10225"/>
    <s v="Alan Schoenberger"/>
    <x v="1"/>
    <s v="Second Class"/>
    <s v="United States"/>
    <s v="New York"/>
    <s v="New York City"/>
    <x v="3"/>
    <s v="10024"/>
    <s v="FUR-FU-10002671"/>
    <x v="0"/>
    <x v="7"/>
    <s v="Electrix 20W Halogen Replacement Bulb for Zoom-In Desk Lamp"/>
    <n v="26.8"/>
    <n v="12.864000000000001"/>
    <n v="0.48000000000000004"/>
    <n v="2"/>
    <x v="0"/>
    <x v="3"/>
    <x v="2"/>
    <x v="2"/>
  </r>
  <r>
    <n v="307"/>
    <s v="CA-2014-111003"/>
    <x v="30"/>
    <d v="2014-06-06T00:00:00"/>
    <n v="151"/>
    <s v="CR-12625"/>
    <s v="Corey Roper"/>
    <x v="2"/>
    <s v="Standard Class"/>
    <s v="United States"/>
    <s v="New Jersey"/>
    <s v="Lakewood"/>
    <x v="3"/>
    <s v="8701"/>
    <s v="OFF-BI-10001072"/>
    <x v="1"/>
    <x v="1"/>
    <s v="GBC Clear Cover, 8-1/2 x 11, unpunched, 25 covers per pack"/>
    <n v="45.48"/>
    <n v="20.9208"/>
    <n v="0.46"/>
    <n v="3"/>
    <x v="0"/>
    <x v="1"/>
    <x v="6"/>
    <x v="6"/>
  </r>
  <r>
    <n v="318"/>
    <s v="CA-2014-164973"/>
    <x v="31"/>
    <d v="2014-09-11T00:00:00"/>
    <n v="153"/>
    <s v="NM-18445"/>
    <s v="Nathan Mautz"/>
    <x v="2"/>
    <s v="Standard Class"/>
    <s v="United States"/>
    <s v="New York"/>
    <s v="New York City"/>
    <x v="3"/>
    <s v="10024"/>
    <s v="FUR-CH-10002602"/>
    <x v="0"/>
    <x v="12"/>
    <s v="DMI Arturo Collection Mission-style Design Wood Chair"/>
    <n v="135.88200000000001"/>
    <n v="24.1568"/>
    <n v="0.17777777777777778"/>
    <n v="1"/>
    <x v="7"/>
    <x v="1"/>
    <x v="2"/>
    <x v="2"/>
  </r>
  <r>
    <n v="326"/>
    <s v="CA-2017-153339"/>
    <x v="32"/>
    <d v="2017-05-11T00:00:00"/>
    <n v="61"/>
    <s v="DJ-13510"/>
    <s v="Don Jones"/>
    <x v="1"/>
    <s v="Second Class"/>
    <s v="United States"/>
    <s v="Tennessee"/>
    <s v="Murfreesboro"/>
    <x v="0"/>
    <s v="37130"/>
    <s v="FUR-FU-10001967"/>
    <x v="0"/>
    <x v="7"/>
    <s v="Telescoping Adjustable Floor Lamp"/>
    <n v="15.992000000000001"/>
    <n v="0.99950000000000006"/>
    <n v="6.25E-2"/>
    <n v="1"/>
    <x v="1"/>
    <x v="2"/>
    <x v="4"/>
    <x v="4"/>
  </r>
  <r>
    <n v="335"/>
    <s v="CA-2015-137946"/>
    <x v="33"/>
    <d v="2015-04-09T00:00:00"/>
    <n v="90"/>
    <s v="DB-13615"/>
    <s v="Doug Bickford"/>
    <x v="0"/>
    <s v="Second Class"/>
    <s v="United States"/>
    <s v="California"/>
    <s v="Los Angeles"/>
    <x v="1"/>
    <s v="90045"/>
    <s v="OFF-BI-10001922"/>
    <x v="1"/>
    <x v="1"/>
    <s v="Storex Dura Pro Binders"/>
    <n v="4.7519999999999998"/>
    <n v="1.6037999999999999"/>
    <n v="0.33749999999999997"/>
    <n v="1"/>
    <x v="1"/>
    <x v="3"/>
    <x v="6"/>
    <x v="6"/>
  </r>
  <r>
    <n v="347"/>
    <s v="CA-2017-134306"/>
    <x v="34"/>
    <d v="2017-12-07T00:00:00"/>
    <n v="122"/>
    <s v="TD-20995"/>
    <s v="Tamara Dahlen"/>
    <x v="0"/>
    <s v="Standard Class"/>
    <s v="United States"/>
    <s v="Massachusetts"/>
    <s v="Lowell"/>
    <x v="3"/>
    <s v="1852"/>
    <s v="OFF-AR-10004027"/>
    <x v="1"/>
    <x v="3"/>
    <s v="Binney &amp; Smith inkTank Erasable Desk Highlighter, Chisel Tip, Yellow, 12/Box"/>
    <n v="7.56"/>
    <n v="3.0996000000000001"/>
    <n v="0.41000000000000003"/>
    <n v="3"/>
    <x v="0"/>
    <x v="2"/>
    <x v="0"/>
    <x v="0"/>
  </r>
  <r>
    <n v="360"/>
    <s v="CA-2017-155698"/>
    <x v="35"/>
    <d v="2017-11-03T00:00:00"/>
    <n v="92"/>
    <s v="VB-21745"/>
    <s v="Victoria Brennan"/>
    <x v="1"/>
    <s v="First Class"/>
    <s v="United States"/>
    <s v="Georgia"/>
    <s v="Columbus"/>
    <x v="0"/>
    <s v="31907"/>
    <s v="OFF-AP-10001124"/>
    <x v="1"/>
    <x v="8"/>
    <s v="Belkin 8 Outlet SurgeMaster II Gold Surge Protector with Phone Protection"/>
    <n v="647.84"/>
    <n v="168.4384"/>
    <n v="0.26"/>
    <n v="8"/>
    <x v="0"/>
    <x v="2"/>
    <x v="0"/>
    <x v="0"/>
  </r>
  <r>
    <n v="387"/>
    <s v="CA-2015-122756"/>
    <x v="36"/>
    <d v="2015-07-12T00:00:00"/>
    <n v="122"/>
    <s v="DK-13225"/>
    <s v="Dean Katz"/>
    <x v="1"/>
    <s v="Standard Class"/>
    <s v="United States"/>
    <s v="Pennsylvania"/>
    <s v="Philadelphia"/>
    <x v="3"/>
    <s v="19140"/>
    <s v="TEC-MA-10001681"/>
    <x v="2"/>
    <x v="13"/>
    <s v="Lexmark MarkNet N8150 Wireless Print Server"/>
    <n v="482.34"/>
    <n v="-337.63799999999998"/>
    <n v="-0.7"/>
    <n v="4"/>
    <x v="3"/>
    <x v="3"/>
    <x v="4"/>
    <x v="4"/>
  </r>
  <r>
    <n v="394"/>
    <s v="US-2014-134971"/>
    <x v="37"/>
    <d v="2014-10-06T00:00:00"/>
    <n v="92"/>
    <s v="BP-11095"/>
    <s v="Bart Pistole"/>
    <x v="1"/>
    <s v="Second Class"/>
    <s v="United States"/>
    <s v="Illinois"/>
    <s v="Peoria"/>
    <x v="2"/>
    <s v="61604"/>
    <s v="OFF-BI-10003982"/>
    <x v="1"/>
    <x v="1"/>
    <s v="Wilson Jones Century Plastic Molded Ring Binders"/>
    <n v="12.462"/>
    <n v="-20.5623"/>
    <n v="-1.6500000000000001"/>
    <n v="3"/>
    <x v="2"/>
    <x v="1"/>
    <x v="9"/>
    <x v="9"/>
  </r>
  <r>
    <n v="399"/>
    <s v="CA-2016-108987"/>
    <x v="38"/>
    <d v="2016-10-09T00:00:00"/>
    <n v="61"/>
    <s v="AG-10675"/>
    <s v="Anna Gayman"/>
    <x v="0"/>
    <s v="Second Class"/>
    <s v="United States"/>
    <s v="Texas"/>
    <s v="Houston"/>
    <x v="2"/>
    <s v="77036"/>
    <s v="OFF-ST-10001580"/>
    <x v="1"/>
    <x v="6"/>
    <s v="Super Decoflex Portable Personal File"/>
    <n v="35.951999999999998"/>
    <n v="3.5952000000000002"/>
    <n v="0.1"/>
    <n v="3"/>
    <x v="1"/>
    <x v="0"/>
    <x v="0"/>
    <x v="0"/>
  </r>
  <r>
    <n v="406"/>
    <s v="CA-2017-117457"/>
    <x v="39"/>
    <d v="2017-12-12T00:00:00"/>
    <n v="122"/>
    <s v="KH-16510"/>
    <s v="Keith Herrera"/>
    <x v="0"/>
    <s v="Standard Class"/>
    <s v="United States"/>
    <s v="California"/>
    <s v="San Francisco"/>
    <x v="1"/>
    <s v="94110"/>
    <s v="TEC-AC-10000158"/>
    <x v="2"/>
    <x v="11"/>
    <s v="Sony 64GB Class 10 Micro SDHC R40 Memory Card"/>
    <n v="179.95"/>
    <n v="37.789499999999997"/>
    <n v="0.21"/>
    <n v="5"/>
    <x v="0"/>
    <x v="2"/>
    <x v="0"/>
    <x v="0"/>
  </r>
  <r>
    <n v="415"/>
    <s v="CA-2017-142636"/>
    <x v="32"/>
    <d v="2017-07-11T00:00:00"/>
    <n v="122"/>
    <s v="KC-16675"/>
    <s v="Kimberly Carter"/>
    <x v="1"/>
    <s v="Standard Class"/>
    <s v="United States"/>
    <s v="Washington"/>
    <s v="Seattle"/>
    <x v="1"/>
    <s v="98105"/>
    <s v="OFF-PA-10000157"/>
    <x v="1"/>
    <x v="4"/>
    <s v="Xerox 191"/>
    <n v="139.86000000000001"/>
    <n v="65.734200000000001"/>
    <n v="0.47"/>
    <n v="7"/>
    <x v="0"/>
    <x v="2"/>
    <x v="4"/>
    <x v="4"/>
  </r>
  <r>
    <n v="419"/>
    <s v="CA-2017-154816"/>
    <x v="8"/>
    <d v="2017-10-11T00:00:00"/>
    <n v="122"/>
    <s v="VB-21745"/>
    <s v="Victoria Brennan"/>
    <x v="1"/>
    <s v="Standard Class"/>
    <s v="United States"/>
    <s v="Kentucky"/>
    <s v="Richmond"/>
    <x v="0"/>
    <s v="40475"/>
    <s v="OFF-PA-10003845"/>
    <x v="1"/>
    <x v="4"/>
    <s v="Xerox 1987"/>
    <n v="5.78"/>
    <n v="2.8321999999999998"/>
    <n v="0.48999999999999994"/>
    <n v="1"/>
    <x v="0"/>
    <x v="2"/>
    <x v="5"/>
    <x v="5"/>
  </r>
  <r>
    <n v="420"/>
    <s v="CA-2017-110478"/>
    <x v="40"/>
    <d v="2017-09-03T00:00:00"/>
    <n v="153"/>
    <s v="SP-20860"/>
    <s v="Sung Pak"/>
    <x v="1"/>
    <s v="Standard Class"/>
    <s v="United States"/>
    <s v="California"/>
    <s v="Los Angeles"/>
    <x v="1"/>
    <s v="90045"/>
    <s v="OFF-AR-10001573"/>
    <x v="1"/>
    <x v="3"/>
    <s v="American Pencil"/>
    <n v="9.32"/>
    <n v="2.7027999999999999"/>
    <n v="0.28999999999999998"/>
    <n v="4"/>
    <x v="0"/>
    <x v="2"/>
    <x v="2"/>
    <x v="2"/>
  </r>
  <r>
    <n v="429"/>
    <s v="CA-2017-152275"/>
    <x v="41"/>
    <d v="2017-08-10T00:00:00"/>
    <n v="212"/>
    <s v="KH-16630"/>
    <s v="Ken Heidel"/>
    <x v="1"/>
    <s v="Standard Class"/>
    <s v="United States"/>
    <s v="Texas"/>
    <s v="San Antonio"/>
    <x v="2"/>
    <s v="78207"/>
    <s v="OFF-AR-10000369"/>
    <x v="1"/>
    <x v="3"/>
    <s v="Design Ebony Sketching Pencil"/>
    <n v="6.6719999999999997"/>
    <n v="0.50039999999999996"/>
    <n v="7.4999999999999997E-2"/>
    <n v="6"/>
    <x v="1"/>
    <x v="2"/>
    <x v="6"/>
    <x v="6"/>
  </r>
  <r>
    <n v="434"/>
    <s v="CA-2016-127369"/>
    <x v="42"/>
    <d v="2016-07-06T00:00:00"/>
    <n v="30"/>
    <s v="DB-13060"/>
    <s v="Dave Brooks"/>
    <x v="0"/>
    <s v="First Class"/>
    <s v="United States"/>
    <s v="Massachusetts"/>
    <s v="Lowell"/>
    <x v="3"/>
    <s v="1852"/>
    <s v="OFF-ST-10003306"/>
    <x v="1"/>
    <x v="6"/>
    <s v="Letter Size Cart"/>
    <n v="714.3"/>
    <n v="207.14699999999999"/>
    <n v="0.28999999999999998"/>
    <n v="5"/>
    <x v="0"/>
    <x v="0"/>
    <x v="5"/>
    <x v="5"/>
  </r>
  <r>
    <n v="441"/>
    <s v="CA-2016-115756"/>
    <x v="17"/>
    <d v="2016-07-09T00:00:00"/>
    <n v="61"/>
    <s v="PK-19075"/>
    <s v="Pete Kriz"/>
    <x v="0"/>
    <s v="Second Class"/>
    <s v="United States"/>
    <s v="Michigan"/>
    <s v="Detroit"/>
    <x v="2"/>
    <s v="48227"/>
    <s v="FUR-FU-10000246"/>
    <x v="0"/>
    <x v="7"/>
    <s v="Aluminum Document Frame"/>
    <n v="12.22"/>
    <n v="3.6659999999999999"/>
    <n v="0.3"/>
    <n v="1"/>
    <x v="0"/>
    <x v="0"/>
    <x v="1"/>
    <x v="1"/>
  </r>
  <r>
    <n v="448"/>
    <s v="CA-2016-166674"/>
    <x v="43"/>
    <d v="2016-03-04T00:00:00"/>
    <n v="60"/>
    <s v="RB-19360"/>
    <s v="Raymond Buch"/>
    <x v="0"/>
    <s v="Second Class"/>
    <s v="United States"/>
    <s v="New York"/>
    <s v="Auburn"/>
    <x v="3"/>
    <s v="13021"/>
    <s v="OFF-AR-10000588"/>
    <x v="1"/>
    <x v="3"/>
    <s v="Newell 345"/>
    <n v="59.52"/>
    <n v="15.475199999999999"/>
    <n v="0.25999999999999995"/>
    <n v="3"/>
    <x v="0"/>
    <x v="0"/>
    <x v="6"/>
    <x v="6"/>
  </r>
  <r>
    <n v="472"/>
    <s v="CA-2014-144666"/>
    <x v="44"/>
    <d v="2014-11-11T00:00:00"/>
    <n v="61"/>
    <s v="JP-15520"/>
    <s v="Jeremy Pistek"/>
    <x v="0"/>
    <s v="Second Class"/>
    <s v="United States"/>
    <s v="California"/>
    <s v="San Francisco"/>
    <x v="1"/>
    <s v="94110"/>
    <s v="OFF-ST-10002743"/>
    <x v="1"/>
    <x v="6"/>
    <s v="SAFCO Boltless Steel Shelving"/>
    <n v="340.92"/>
    <n v="3.4091999999999998"/>
    <n v="9.9999999999999985E-3"/>
    <n v="3"/>
    <x v="0"/>
    <x v="1"/>
    <x v="3"/>
    <x v="3"/>
  </r>
  <r>
    <n v="482"/>
    <s v="CA-2014-134677"/>
    <x v="45"/>
    <d v="2014-10-10T00:00:00"/>
    <n v="122"/>
    <s v="XP-21865"/>
    <s v="Xylona Preis"/>
    <x v="0"/>
    <s v="Standard Class"/>
    <s v="United States"/>
    <s v="California"/>
    <s v="San Diego"/>
    <x v="1"/>
    <s v="92024"/>
    <s v="TEC-AC-10001445"/>
    <x v="2"/>
    <x v="11"/>
    <s v="Imation USB 2.0 Swivel Flash Drive USB flash drive - 4 GB - Pink"/>
    <n v="9.09"/>
    <n v="1.9089"/>
    <n v="0.21000000000000002"/>
    <n v="3"/>
    <x v="0"/>
    <x v="1"/>
    <x v="5"/>
    <x v="5"/>
  </r>
  <r>
    <n v="529"/>
    <s v="US-2015-138303"/>
    <x v="6"/>
    <d v="2015-07-09T00:00:00"/>
    <n v="122"/>
    <s v="MG-18145"/>
    <s v="Mike Gockenbach"/>
    <x v="0"/>
    <s v="Standard Class"/>
    <s v="United States"/>
    <s v="Pennsylvania"/>
    <s v="Philadelphia"/>
    <x v="3"/>
    <s v="19134"/>
    <s v="OFF-ST-10004963"/>
    <x v="1"/>
    <x v="6"/>
    <s v="Eldon Gobal File Keepers"/>
    <n v="36.335999999999999"/>
    <n v="-7.2671999999999999"/>
    <n v="-0.2"/>
    <n v="3"/>
    <x v="1"/>
    <x v="3"/>
    <x v="4"/>
    <x v="4"/>
  </r>
  <r>
    <n v="532"/>
    <s v="CA-2015-102848"/>
    <x v="46"/>
    <d v="2015-09-11T00:00:00"/>
    <n v="62"/>
    <s v="KB-16240"/>
    <s v="Karen Bern"/>
    <x v="1"/>
    <s v="Second Class"/>
    <s v="United States"/>
    <s v="California"/>
    <s v="Los Angeles"/>
    <x v="1"/>
    <s v="90036"/>
    <s v="FUR-CH-10000595"/>
    <x v="0"/>
    <x v="12"/>
    <s v="Safco Contoured Stacking Chairs"/>
    <n v="190.72"/>
    <n v="11.92"/>
    <n v="6.25E-2"/>
    <n v="1"/>
    <x v="1"/>
    <x v="3"/>
    <x v="9"/>
    <x v="9"/>
  </r>
  <r>
    <n v="533"/>
    <s v="US-2017-129441"/>
    <x v="47"/>
    <d v="2017-11-09T00:00:00"/>
    <n v="123"/>
    <s v="JC-15340"/>
    <s v="Jasper Cacioppo"/>
    <x v="0"/>
    <s v="Standard Class"/>
    <s v="United States"/>
    <s v="California"/>
    <s v="Los Angeles"/>
    <x v="1"/>
    <s v="90032"/>
    <s v="FUR-FU-10000448"/>
    <x v="0"/>
    <x v="7"/>
    <s v="Tenex Chairmats For Use With Carpeted Floors"/>
    <n v="47.94"/>
    <n v="2.3969999999999998"/>
    <n v="4.9999999999999996E-2"/>
    <n v="3"/>
    <x v="0"/>
    <x v="2"/>
    <x v="9"/>
    <x v="9"/>
  </r>
  <r>
    <n v="537"/>
    <s v="US-2017-122637"/>
    <x v="48"/>
    <d v="2017-08-09T00:00:00"/>
    <n v="153"/>
    <s v="EP-13915"/>
    <s v="Emily Phan"/>
    <x v="0"/>
    <s v="Second Class"/>
    <s v="United States"/>
    <s v="Illinois"/>
    <s v="Chicago"/>
    <x v="2"/>
    <s v="60653"/>
    <s v="OFF-BI-10002429"/>
    <x v="1"/>
    <x v="1"/>
    <s v="Premier Elliptical Ring Binder, Black"/>
    <n v="42.616"/>
    <n v="-68.185599999999994"/>
    <n v="-1.5999999999999999"/>
    <n v="7"/>
    <x v="2"/>
    <x v="2"/>
    <x v="4"/>
    <x v="4"/>
  </r>
  <r>
    <n v="538"/>
    <s v="CA-2015-147851"/>
    <x v="36"/>
    <d v="2015-08-12T00:00:00"/>
    <n v="153"/>
    <s v="MP-17470"/>
    <s v="Mark Packer"/>
    <x v="2"/>
    <s v="Standard Class"/>
    <s v="United States"/>
    <s v="New York"/>
    <s v="New York City"/>
    <x v="3"/>
    <s v="10009"/>
    <s v="OFF-BI-10004528"/>
    <x v="1"/>
    <x v="1"/>
    <s v="Cardinal Poly Pocket Divider Pockets for Ring Binders"/>
    <n v="10.752000000000001"/>
    <n v="3.36"/>
    <n v="0.31249999999999994"/>
    <n v="4"/>
    <x v="1"/>
    <x v="3"/>
    <x v="4"/>
    <x v="4"/>
  </r>
  <r>
    <n v="539"/>
    <s v="CA-2015-134894"/>
    <x v="49"/>
    <d v="2015-11-12T00:00:00"/>
    <n v="123"/>
    <s v="DK-12985"/>
    <s v="Darren Koutras"/>
    <x v="0"/>
    <s v="Standard Class"/>
    <s v="United States"/>
    <s v="Kentucky"/>
    <s v="Henderson"/>
    <x v="0"/>
    <s v="42420"/>
    <s v="OFF-AP-10001271"/>
    <x v="1"/>
    <x v="8"/>
    <s v="Eureka The Boss Cordless Rechargeable Stick Vac"/>
    <n v="152.94"/>
    <n v="41.293799999999997"/>
    <n v="0.26999999999999996"/>
    <n v="3"/>
    <x v="0"/>
    <x v="3"/>
    <x v="9"/>
    <x v="9"/>
  </r>
  <r>
    <n v="541"/>
    <s v="CA-2014-140795"/>
    <x v="50"/>
    <d v="2014-03-02T00:00:00"/>
    <n v="59"/>
    <s v="BD-11500"/>
    <s v="Bradley Drucker"/>
    <x v="0"/>
    <s v="First Class"/>
    <s v="United States"/>
    <s v="Wisconsin"/>
    <s v="Green Bay"/>
    <x v="2"/>
    <s v="54302"/>
    <s v="TEC-AC-10001432"/>
    <x v="2"/>
    <x v="11"/>
    <s v="Enermax Aurora Lite Keyboard"/>
    <n v="468.9"/>
    <n v="206.316"/>
    <n v="0.44"/>
    <n v="6"/>
    <x v="0"/>
    <x v="1"/>
    <x v="6"/>
    <x v="6"/>
  </r>
  <r>
    <n v="553"/>
    <s v="CA-2017-112774"/>
    <x v="51"/>
    <d v="2017-12-09T00:00:00"/>
    <n v="30"/>
    <s v="RC-19960"/>
    <s v="Ryan Crowe"/>
    <x v="0"/>
    <s v="First Class"/>
    <s v="United States"/>
    <s v="Florida"/>
    <s v="Jacksonville"/>
    <x v="0"/>
    <s v="32216"/>
    <s v="FUR-FU-10003039"/>
    <x v="0"/>
    <x v="7"/>
    <s v="Howard Miller 11-1/2&quot; Diameter Grantwood Wall Clock"/>
    <n v="34.503999999999998"/>
    <n v="6.0381999999999998"/>
    <n v="0.17500000000000002"/>
    <n v="1"/>
    <x v="1"/>
    <x v="2"/>
    <x v="8"/>
    <x v="8"/>
  </r>
  <r>
    <n v="556"/>
    <s v="CA-2014-155852"/>
    <x v="52"/>
    <d v="2014-07-03T00:00:00"/>
    <n v="122"/>
    <s v="AJ-10945"/>
    <s v="Ashley Jarboe"/>
    <x v="0"/>
    <s v="Second Class"/>
    <s v="United States"/>
    <s v="North Carolina"/>
    <s v="Wilmington"/>
    <x v="0"/>
    <s v="28403"/>
    <s v="OFF-AR-10003560"/>
    <x v="1"/>
    <x v="3"/>
    <s v="Zebra Zazzle Fluorescent Highlighters"/>
    <n v="19.456"/>
    <n v="3.4047999999999998"/>
    <n v="0.17499999999999999"/>
    <n v="4"/>
    <x v="1"/>
    <x v="1"/>
    <x v="4"/>
    <x v="4"/>
  </r>
  <r>
    <n v="564"/>
    <s v="CA-2015-130736"/>
    <x v="49"/>
    <d v="2015-09-12T00:00:00"/>
    <n v="62"/>
    <s v="JF-15490"/>
    <s v="Jeremy Farry"/>
    <x v="0"/>
    <s v="First Class"/>
    <s v="United States"/>
    <s v="Washington"/>
    <s v="Seattle"/>
    <x v="1"/>
    <s v="98105"/>
    <s v="OFF-FA-10003467"/>
    <x v="1"/>
    <x v="14"/>
    <s v="Alliance Big Bands Rubber Bands, 12/Pack"/>
    <n v="3.96"/>
    <n v="0"/>
    <n v="0"/>
    <n v="2"/>
    <x v="0"/>
    <x v="3"/>
    <x v="9"/>
    <x v="9"/>
  </r>
  <r>
    <n v="566"/>
    <s v="CA-2017-137099"/>
    <x v="53"/>
    <d v="2017-10-12T00:00:00"/>
    <n v="92"/>
    <s v="FP-14320"/>
    <s v="Frank Preis"/>
    <x v="0"/>
    <s v="First Class"/>
    <s v="United States"/>
    <s v="California"/>
    <s v="Los Angeles"/>
    <x v="1"/>
    <s v="90008"/>
    <s v="TEC-PH-10002496"/>
    <x v="2"/>
    <x v="2"/>
    <s v="Cisco SPA301"/>
    <n v="374.37599999999998"/>
    <n v="46.796999999999997"/>
    <n v="0.125"/>
    <n v="3"/>
    <x v="1"/>
    <x v="2"/>
    <x v="9"/>
    <x v="9"/>
  </r>
  <r>
    <n v="567"/>
    <s v="CA-2017-156951"/>
    <x v="41"/>
    <d v="2017-08-10T00:00:00"/>
    <n v="212"/>
    <s v="EB-13840"/>
    <s v="Ellis Ballard"/>
    <x v="1"/>
    <s v="Standard Class"/>
    <s v="United States"/>
    <s v="Washington"/>
    <s v="Seattle"/>
    <x v="1"/>
    <s v="98105"/>
    <s v="OFF-PA-10004530"/>
    <x v="1"/>
    <x v="4"/>
    <s v="Personal Creations Ink Jet Cards and Labels"/>
    <n v="91.84"/>
    <n v="45.001600000000003"/>
    <n v="0.49"/>
    <n v="8"/>
    <x v="0"/>
    <x v="2"/>
    <x v="6"/>
    <x v="6"/>
  </r>
  <r>
    <n v="575"/>
    <s v="CA-2016-127250"/>
    <x v="12"/>
    <d v="2016-07-11T00:00:00"/>
    <n v="122"/>
    <s v="SF-20200"/>
    <s v="Sarah Foster"/>
    <x v="0"/>
    <s v="Standard Class"/>
    <s v="United States"/>
    <s v="Washington"/>
    <s v="Marysville"/>
    <x v="1"/>
    <s v="98270"/>
    <s v="OFF-AR-10003394"/>
    <x v="1"/>
    <x v="3"/>
    <s v="Newell 332"/>
    <n v="8.82"/>
    <n v="2.3814000000000002"/>
    <n v="0.27"/>
    <n v="3"/>
    <x v="0"/>
    <x v="0"/>
    <x v="4"/>
    <x v="4"/>
  </r>
  <r>
    <n v="587"/>
    <s v="CA-2015-128139"/>
    <x v="54"/>
    <d v="2015-09-07T00:00:00"/>
    <n v="184"/>
    <s v="BD-11725"/>
    <s v="Bruce Degenhardt"/>
    <x v="0"/>
    <s v="Standard Class"/>
    <s v="United States"/>
    <s v="Kentucky"/>
    <s v="Richmond"/>
    <x v="0"/>
    <s v="40475"/>
    <s v="FUR-CH-10003956"/>
    <x v="0"/>
    <x v="12"/>
    <s v="Novimex High-Tech Fabric Mesh Task Chair"/>
    <n v="70.98"/>
    <n v="4.9686000000000003"/>
    <n v="7.0000000000000007E-2"/>
    <n v="1"/>
    <x v="0"/>
    <x v="3"/>
    <x v="4"/>
    <x v="4"/>
  </r>
  <r>
    <n v="636"/>
    <s v="CA-2015-168004"/>
    <x v="55"/>
    <d v="2015-09-10T00:00:00"/>
    <n v="153"/>
    <s v="DJ-13420"/>
    <s v="Denny Joy"/>
    <x v="1"/>
    <s v="Second Class"/>
    <s v="United States"/>
    <s v="Georgia"/>
    <s v="Warner Robins"/>
    <x v="0"/>
    <s v="31088"/>
    <s v="FUR-CH-10001482"/>
    <x v="0"/>
    <x v="12"/>
    <s v="Office Star - Mesh Screen back chair with Vinyl seat"/>
    <n v="392.94"/>
    <n v="43.223399999999998"/>
    <n v="0.11"/>
    <n v="3"/>
    <x v="0"/>
    <x v="3"/>
    <x v="2"/>
    <x v="2"/>
  </r>
  <r>
    <n v="647"/>
    <s v="CA-2016-103947"/>
    <x v="43"/>
    <d v="2016-08-04T00:00:00"/>
    <n v="213"/>
    <s v="BB-10990"/>
    <s v="Barry Blumstein"/>
    <x v="1"/>
    <s v="Standard Class"/>
    <s v="United States"/>
    <s v="Arizona"/>
    <s v="Sierra Vista"/>
    <x v="1"/>
    <s v="85635"/>
    <s v="OFF-FA-10003112"/>
    <x v="1"/>
    <x v="14"/>
    <s v="Staples"/>
    <n v="31.56"/>
    <n v="9.8625000000000007"/>
    <n v="0.31250000000000006"/>
    <n v="5"/>
    <x v="1"/>
    <x v="0"/>
    <x v="6"/>
    <x v="6"/>
  </r>
  <r>
    <n v="666"/>
    <s v="CA-2017-132682"/>
    <x v="27"/>
    <d v="2017-10-06T00:00:00"/>
    <n v="61"/>
    <s v="TH-21235"/>
    <s v="Tiffany House"/>
    <x v="1"/>
    <s v="Second Class"/>
    <s v="United States"/>
    <s v="Texas"/>
    <s v="Dallas"/>
    <x v="2"/>
    <s v="75081"/>
    <s v="OFF-SU-10004231"/>
    <x v="1"/>
    <x v="15"/>
    <s v="Acme Tagit Stainless Steel Antibacterial Scissors"/>
    <n v="23.76"/>
    <n v="2.0790000000000002"/>
    <n v="8.7500000000000008E-2"/>
    <n v="3"/>
    <x v="1"/>
    <x v="2"/>
    <x v="0"/>
    <x v="0"/>
  </r>
  <r>
    <n v="674"/>
    <s v="CA-2017-130351"/>
    <x v="56"/>
    <d v="2017-08-12T00:00:00"/>
    <n v="92"/>
    <s v="RB-19570"/>
    <s v="Rob Beeghly"/>
    <x v="0"/>
    <s v="First Class"/>
    <s v="United States"/>
    <s v="Indiana"/>
    <s v="Columbus"/>
    <x v="2"/>
    <s v="47201"/>
    <s v="OFF-AP-10004532"/>
    <x v="1"/>
    <x v="8"/>
    <s v="Kensington 6 Outlet Guardian Standard Surge Protector"/>
    <n v="61.44"/>
    <n v="16.588799999999999"/>
    <n v="0.27"/>
    <n v="3"/>
    <x v="0"/>
    <x v="2"/>
    <x v="1"/>
    <x v="1"/>
  </r>
  <r>
    <n v="684"/>
    <s v="US-2017-168116"/>
    <x v="57"/>
    <d v="2017-04-11T00:00:00"/>
    <n v="0"/>
    <s v="GT-14635"/>
    <s v="Grant Thornton"/>
    <x v="1"/>
    <s v="Same Day"/>
    <s v="United States"/>
    <s v="North Carolina"/>
    <s v="Burlington"/>
    <x v="0"/>
    <s v="27217"/>
    <s v="TEC-MA-10004125"/>
    <x v="2"/>
    <x v="13"/>
    <s v="Cubify CubeX 3D Printer Triple Head Print"/>
    <n v="7999.98"/>
    <n v="-3839.9904000000001"/>
    <n v="-0.48000000000000004"/>
    <n v="4"/>
    <x v="5"/>
    <x v="2"/>
    <x v="2"/>
    <x v="2"/>
  </r>
  <r>
    <n v="686"/>
    <s v="CA-2014-157784"/>
    <x v="58"/>
    <d v="2014-08-07T00:00:00"/>
    <n v="92"/>
    <s v="MC-17845"/>
    <s v="Michael Chen"/>
    <x v="0"/>
    <s v="First Class"/>
    <s v="United States"/>
    <s v="Mississippi"/>
    <s v="Jackson"/>
    <x v="0"/>
    <s v="39212"/>
    <s v="TEC-AC-10003911"/>
    <x v="2"/>
    <x v="11"/>
    <s v="NETGEAR AC1750 Dual Band Gigabit Smart WiFi Router"/>
    <n v="479.97"/>
    <n v="163.18979999999999"/>
    <n v="0.33999999999999997"/>
    <n v="3"/>
    <x v="0"/>
    <x v="1"/>
    <x v="1"/>
    <x v="1"/>
  </r>
  <r>
    <n v="703"/>
    <s v="CA-2016-163755"/>
    <x v="59"/>
    <d v="2016-08-11T00:00:00"/>
    <n v="122"/>
    <s v="AS-10285"/>
    <s v="Alejandro Savely"/>
    <x v="1"/>
    <s v="Second Class"/>
    <s v="United States"/>
    <s v="Washington"/>
    <s v="Seattle"/>
    <x v="1"/>
    <s v="98103"/>
    <s v="FUR-FU-10003394"/>
    <x v="0"/>
    <x v="7"/>
    <s v="Tenex &quot;The Solids&quot; Textured Chair Mats"/>
    <n v="209.88"/>
    <n v="35.679600000000001"/>
    <n v="0.17"/>
    <n v="3"/>
    <x v="0"/>
    <x v="0"/>
    <x v="2"/>
    <x v="2"/>
  </r>
  <r>
    <n v="712"/>
    <s v="CA-2017-146136"/>
    <x v="48"/>
    <d v="2017-07-09T00:00:00"/>
    <n v="122"/>
    <s v="AP-10915"/>
    <s v="Arthur Prichep"/>
    <x v="0"/>
    <s v="Standard Class"/>
    <s v="United States"/>
    <s v="Florida"/>
    <s v="Palm Coast"/>
    <x v="0"/>
    <s v="32137"/>
    <s v="OFF-EN-10001219"/>
    <x v="1"/>
    <x v="5"/>
    <s v="#10- 4 1/8&quot; x 9 1/2&quot; Security-Tint Envelopes"/>
    <n v="24.448"/>
    <n v="8.8623999999999992"/>
    <n v="0.36249999999999993"/>
    <n v="4"/>
    <x v="1"/>
    <x v="2"/>
    <x v="4"/>
    <x v="4"/>
  </r>
  <r>
    <n v="716"/>
    <s v="CA-2014-153150"/>
    <x v="60"/>
    <d v="2014-06-07T00:00:00"/>
    <n v="151"/>
    <s v="Dl-13600"/>
    <s v="Dorris liebe"/>
    <x v="1"/>
    <s v="Second Class"/>
    <s v="United States"/>
    <s v="Washington"/>
    <s v="Seattle"/>
    <x v="1"/>
    <s v="98105"/>
    <s v="OFF-BI-10003355"/>
    <x v="1"/>
    <x v="1"/>
    <s v="Cardinal Holdit Business Card Pockets"/>
    <n v="19.920000000000002"/>
    <n v="6.9720000000000004"/>
    <n v="0.35"/>
    <n v="5"/>
    <x v="1"/>
    <x v="1"/>
    <x v="6"/>
    <x v="6"/>
  </r>
  <r>
    <n v="719"/>
    <s v="CA-2014-104472"/>
    <x v="61"/>
    <d v="2014-07-06T00:00:00"/>
    <n v="150"/>
    <s v="CK-12325"/>
    <s v="Christine Kargatis"/>
    <x v="2"/>
    <s v="Standard Class"/>
    <s v="United States"/>
    <s v="Utah"/>
    <s v="Orem"/>
    <x v="1"/>
    <s v="84057"/>
    <s v="OFF-BI-10001658"/>
    <x v="1"/>
    <x v="1"/>
    <s v="GBC Standard Therm-A-Bind Covers"/>
    <n v="59.808"/>
    <n v="19.4376"/>
    <n v="0.32500000000000001"/>
    <n v="3"/>
    <x v="1"/>
    <x v="1"/>
    <x v="7"/>
    <x v="7"/>
  </r>
  <r>
    <n v="725"/>
    <s v="CA-2016-114713"/>
    <x v="62"/>
    <d v="2016-12-07T00:00:00"/>
    <n v="153"/>
    <s v="SC-20695"/>
    <s v="Steve Chapman"/>
    <x v="1"/>
    <s v="Standard Class"/>
    <s v="United States"/>
    <s v="Florida"/>
    <s v="Hialeah"/>
    <x v="0"/>
    <s v="33012"/>
    <s v="OFF-SU-10004664"/>
    <x v="1"/>
    <x v="15"/>
    <s v="Acme Softgrip Scissors"/>
    <n v="45.584000000000003"/>
    <n v="5.1281999999999996"/>
    <n v="0.11249999999999999"/>
    <n v="7"/>
    <x v="1"/>
    <x v="0"/>
    <x v="9"/>
    <x v="9"/>
  </r>
  <r>
    <n v="728"/>
    <s v="US-2016-150861"/>
    <x v="63"/>
    <d v="2016-06-12T00:00:00"/>
    <n v="92"/>
    <s v="EG-13900"/>
    <s v="Emily Grady"/>
    <x v="0"/>
    <s v="First Class"/>
    <s v="United States"/>
    <s v="New York"/>
    <s v="Oceanside"/>
    <x v="3"/>
    <s v="11572"/>
    <s v="OFF-PA-10001954"/>
    <x v="1"/>
    <x v="4"/>
    <s v="Xerox 1964"/>
    <n v="182.72"/>
    <n v="84.051199999999994"/>
    <n v="0.45999999999999996"/>
    <n v="8"/>
    <x v="0"/>
    <x v="0"/>
    <x v="4"/>
    <x v="4"/>
  </r>
  <r>
    <n v="739"/>
    <s v="CA-2014-132500"/>
    <x v="20"/>
    <d v="2014-12-09T00:00:00"/>
    <n v="122"/>
    <s v="GZ-14470"/>
    <s v="Gary Zandusky"/>
    <x v="0"/>
    <s v="Standard Class"/>
    <s v="United States"/>
    <s v="California"/>
    <s v="San Francisco"/>
    <x v="1"/>
    <s v="94110"/>
    <s v="TEC-AC-10001383"/>
    <x v="2"/>
    <x v="11"/>
    <s v="Logitech Wireless Touch Keyboard K400"/>
    <n v="49.98"/>
    <n v="8.4966000000000008"/>
    <n v="0.17000000000000004"/>
    <n v="2"/>
    <x v="0"/>
    <x v="1"/>
    <x v="0"/>
    <x v="0"/>
  </r>
  <r>
    <n v="740"/>
    <s v="CA-2014-112326"/>
    <x v="64"/>
    <d v="2014-08-01T00:00:00"/>
    <n v="122"/>
    <s v="PO-19195"/>
    <s v="Phillina Ober"/>
    <x v="2"/>
    <s v="Standard Class"/>
    <s v="United States"/>
    <s v="Illinois"/>
    <s v="Naperville"/>
    <x v="2"/>
    <s v="60540"/>
    <s v="OFF-LA-10003223"/>
    <x v="1"/>
    <x v="10"/>
    <s v="Avery 508"/>
    <n v="11.784000000000001"/>
    <n v="4.2717000000000001"/>
    <n v="0.36249999999999999"/>
    <n v="3"/>
    <x v="1"/>
    <x v="1"/>
    <x v="2"/>
    <x v="2"/>
  </r>
  <r>
    <n v="750"/>
    <s v="CA-2017-126074"/>
    <x v="65"/>
    <d v="2017-06-10T00:00:00"/>
    <n v="120"/>
    <s v="RF-19735"/>
    <s v="Roland Fjeld"/>
    <x v="0"/>
    <s v="Standard Class"/>
    <s v="United States"/>
    <s v="Michigan"/>
    <s v="Trenton"/>
    <x v="2"/>
    <s v="48183"/>
    <s v="OFF-BI-10003638"/>
    <x v="1"/>
    <x v="1"/>
    <s v="GBC Durable Plastic Covers"/>
    <n v="58.05"/>
    <n v="26.702999999999999"/>
    <n v="0.46"/>
    <n v="3"/>
    <x v="0"/>
    <x v="2"/>
    <x v="7"/>
    <x v="7"/>
  </r>
  <r>
    <n v="754"/>
    <s v="CA-2016-110499"/>
    <x v="66"/>
    <d v="2016-09-04T00:00:00"/>
    <n v="62"/>
    <s v="YC-21895"/>
    <s v="Yoseph Carroll"/>
    <x v="1"/>
    <s v="First Class"/>
    <s v="United States"/>
    <s v="California"/>
    <s v="San Francisco"/>
    <x v="1"/>
    <s v="94110"/>
    <s v="TEC-CO-10002095"/>
    <x v="2"/>
    <x v="16"/>
    <s v="Hewlett Packard 610 Color Digital Copier / Printer"/>
    <n v="1199.9760000000001"/>
    <n v="374.99250000000001"/>
    <n v="0.3125"/>
    <n v="3"/>
    <x v="1"/>
    <x v="0"/>
    <x v="9"/>
    <x v="9"/>
  </r>
  <r>
    <n v="762"/>
    <s v="CA-2017-126046"/>
    <x v="32"/>
    <d v="2017-07-11T00:00:00"/>
    <n v="122"/>
    <s v="JC-16105"/>
    <s v="Julie Creighton"/>
    <x v="1"/>
    <s v="Standard Class"/>
    <s v="United States"/>
    <s v="Georgia"/>
    <s v="Atlanta"/>
    <x v="0"/>
    <s v="30318"/>
    <s v="OFF-LA-10004484"/>
    <x v="1"/>
    <x v="10"/>
    <s v="Avery 476"/>
    <n v="12.39"/>
    <n v="5.6993999999999998"/>
    <n v="0.45999999999999996"/>
    <n v="3"/>
    <x v="0"/>
    <x v="2"/>
    <x v="4"/>
    <x v="4"/>
  </r>
  <r>
    <n v="782"/>
    <s v="US-2015-157014"/>
    <x v="67"/>
    <d v="2015-06-10T00:00:00"/>
    <n v="92"/>
    <s v="BM-11785"/>
    <s v="Bryan Mills"/>
    <x v="0"/>
    <s v="Second Class"/>
    <s v="United States"/>
    <s v="Ohio"/>
    <s v="Columbus"/>
    <x v="3"/>
    <s v="43229"/>
    <s v="OFF-BI-10001098"/>
    <x v="1"/>
    <x v="1"/>
    <s v="Acco D-Ring Binder w/DublLock"/>
    <n v="32.07"/>
    <n v="-22.449000000000002"/>
    <n v="-0.70000000000000007"/>
    <n v="5"/>
    <x v="3"/>
    <x v="3"/>
    <x v="4"/>
    <x v="4"/>
  </r>
  <r>
    <n v="806"/>
    <s v="CA-2014-134313"/>
    <x v="68"/>
    <d v="2014-07-11T00:00:00"/>
    <n v="181"/>
    <s v="RA-19915"/>
    <s v="Russell Applegate"/>
    <x v="0"/>
    <s v="Standard Class"/>
    <s v="United States"/>
    <s v="Colorado"/>
    <s v="Denver"/>
    <x v="1"/>
    <s v="80219"/>
    <s v="OFF-AR-10001897"/>
    <x v="1"/>
    <x v="3"/>
    <s v="Model L Table or Wall-Mount Pencil Sharpener"/>
    <n v="43.176000000000002"/>
    <n v="4.3175999999999997"/>
    <n v="9.9999999999999992E-2"/>
    <n v="3"/>
    <x v="1"/>
    <x v="1"/>
    <x v="6"/>
    <x v="6"/>
  </r>
  <r>
    <n v="838"/>
    <s v="US-2017-156083"/>
    <x v="57"/>
    <d v="2017-11-11T00:00:00"/>
    <n v="214"/>
    <s v="JL-15175"/>
    <s v="James Lanier"/>
    <x v="2"/>
    <s v="Standard Class"/>
    <s v="United States"/>
    <s v="Tennessee"/>
    <s v="Columbia"/>
    <x v="0"/>
    <s v="38401"/>
    <s v="OFF-PA-10001560"/>
    <x v="1"/>
    <x v="4"/>
    <s v="Adams Telephone Message Books, 5 1/4” x 11”"/>
    <n v="9.6639999999999997"/>
    <n v="3.2616000000000001"/>
    <n v="0.33750000000000002"/>
    <n v="2"/>
    <x v="1"/>
    <x v="2"/>
    <x v="2"/>
    <x v="2"/>
  </r>
  <r>
    <n v="839"/>
    <s v="US-2016-137547"/>
    <x v="69"/>
    <d v="2016-12-03T00:00:00"/>
    <n v="153"/>
    <s v="EB-13705"/>
    <s v="Ed Braxton"/>
    <x v="1"/>
    <s v="Standard Class"/>
    <s v="United States"/>
    <s v="Texas"/>
    <s v="Fort Worth"/>
    <x v="2"/>
    <s v="76106"/>
    <s v="TEC-PH-10002365"/>
    <x v="2"/>
    <x v="2"/>
    <s v="Belkin Grip Candy Sheer Case / Cover for iPhone 5 and 5S"/>
    <n v="21.071999999999999"/>
    <n v="1.5804"/>
    <n v="7.5000000000000011E-2"/>
    <n v="3"/>
    <x v="1"/>
    <x v="0"/>
    <x v="9"/>
    <x v="9"/>
  </r>
  <r>
    <n v="843"/>
    <s v="CA-2016-161669"/>
    <x v="19"/>
    <d v="2016-09-11T00:00:00"/>
    <n v="62"/>
    <s v="EM-14095"/>
    <s v="Eudokia Martin"/>
    <x v="1"/>
    <s v="First Class"/>
    <s v="United States"/>
    <s v="California"/>
    <s v="Los Angeles"/>
    <x v="1"/>
    <s v="90036"/>
    <s v="OFF-BI-10001294"/>
    <x v="1"/>
    <x v="1"/>
    <s v="Fellowes Binding Cases"/>
    <n v="37.44"/>
    <n v="11.7"/>
    <n v="0.3125"/>
    <n v="4"/>
    <x v="1"/>
    <x v="0"/>
    <x v="9"/>
    <x v="9"/>
  </r>
  <r>
    <n v="849"/>
    <s v="CA-2017-107503"/>
    <x v="70"/>
    <d v="2017-06-01T00:00:00"/>
    <n v="151"/>
    <s v="GA-14725"/>
    <s v="Guy Armstrong"/>
    <x v="0"/>
    <s v="Standard Class"/>
    <s v="United States"/>
    <s v="Ohio"/>
    <s v="Lorain"/>
    <x v="3"/>
    <s v="44052"/>
    <s v="FUR-FU-10003878"/>
    <x v="0"/>
    <x v="7"/>
    <s v="Linden 10&quot; Round Wall Clock, Black"/>
    <n v="48.896000000000001"/>
    <n v="8.5568000000000008"/>
    <n v="0.17500000000000002"/>
    <n v="4"/>
    <x v="1"/>
    <x v="2"/>
    <x v="6"/>
    <x v="6"/>
  </r>
  <r>
    <n v="850"/>
    <s v="CA-2014-107755"/>
    <x v="71"/>
    <d v="2014-12-02T00:00:00"/>
    <n v="153"/>
    <s v="CK-12760"/>
    <s v="Cyma Kinney"/>
    <x v="1"/>
    <s v="Standard Class"/>
    <s v="United States"/>
    <s v="New Jersey"/>
    <s v="Linden"/>
    <x v="3"/>
    <s v="7036"/>
    <s v="TEC-AC-10000710"/>
    <x v="2"/>
    <x v="11"/>
    <s v="Maxell DVD-RAM Discs"/>
    <n v="115.36"/>
    <n v="49.604799999999997"/>
    <n v="0.43"/>
    <n v="7"/>
    <x v="0"/>
    <x v="1"/>
    <x v="9"/>
    <x v="9"/>
  </r>
  <r>
    <n v="856"/>
    <s v="CA-2014-125612"/>
    <x v="22"/>
    <d v="2014-08-08T00:00:00"/>
    <n v="153"/>
    <s v="BK-11260"/>
    <s v="Berenike Kampe"/>
    <x v="0"/>
    <s v="Standard Class"/>
    <s v="United States"/>
    <s v="New York"/>
    <s v="New York City"/>
    <x v="3"/>
    <s v="10035"/>
    <s v="OFF-PA-10001019"/>
    <x v="1"/>
    <x v="4"/>
    <s v="Xerox 1884"/>
    <n v="39.96"/>
    <n v="18.781199999999998"/>
    <n v="0.47"/>
    <n v="2"/>
    <x v="0"/>
    <x v="1"/>
    <x v="4"/>
    <x v="4"/>
  </r>
  <r>
    <n v="863"/>
    <s v="CA-2016-134474"/>
    <x v="72"/>
    <d v="2016-07-01T00:00:00"/>
    <n v="61"/>
    <s v="AJ-10795"/>
    <s v="Anthony Johnson"/>
    <x v="1"/>
    <s v="Second Class"/>
    <s v="United States"/>
    <s v="Florida"/>
    <s v="Jacksonville"/>
    <x v="0"/>
    <s v="32216"/>
    <s v="TEC-AC-10001714"/>
    <x v="2"/>
    <x v="11"/>
    <s v="Logitech MX Performance Wireless Mouse"/>
    <n v="191.47200000000001"/>
    <n v="40.687800000000003"/>
    <n v="0.21249999999999999"/>
    <n v="6"/>
    <x v="1"/>
    <x v="0"/>
    <x v="1"/>
    <x v="1"/>
  </r>
  <r>
    <n v="869"/>
    <s v="CA-2014-136742"/>
    <x v="73"/>
    <d v="2014-10-04T00:00:00"/>
    <n v="122"/>
    <s v="GP-14740"/>
    <s v="Guy Phonely"/>
    <x v="1"/>
    <s v="Standard Class"/>
    <s v="United States"/>
    <s v="Pennsylvania"/>
    <s v="Lancaster"/>
    <x v="3"/>
    <s v="17602"/>
    <s v="OFF-BI-10003719"/>
    <x v="1"/>
    <x v="1"/>
    <s v="Large Capacity Hanging Post Binders"/>
    <n v="44.91"/>
    <n v="-35.927999999999997"/>
    <n v="-0.8"/>
    <n v="6"/>
    <x v="3"/>
    <x v="1"/>
    <x v="5"/>
    <x v="5"/>
  </r>
  <r>
    <n v="870"/>
    <s v="CA-2016-158099"/>
    <x v="74"/>
    <d v="2016-05-09T00:00:00"/>
    <n v="61"/>
    <s v="PK-18910"/>
    <s v="Paul Knutson"/>
    <x v="2"/>
    <s v="First Class"/>
    <s v="United States"/>
    <s v="Pennsylvania"/>
    <s v="Philadelphia"/>
    <x v="3"/>
    <s v="19143"/>
    <s v="OFF-BI-10000545"/>
    <x v="1"/>
    <x v="1"/>
    <s v="GBC Ibimaster 500 Manual ProClick Binding System"/>
    <n v="1141.47"/>
    <n v="-760.98"/>
    <n v="-0.66666666666666663"/>
    <n v="5"/>
    <x v="3"/>
    <x v="0"/>
    <x v="4"/>
    <x v="4"/>
  </r>
  <r>
    <n v="895"/>
    <s v="CA-2016-105494"/>
    <x v="75"/>
    <d v="2016-12-11T00:00:00"/>
    <n v="61"/>
    <s v="PC-18745"/>
    <s v="Pamela Coakley"/>
    <x v="1"/>
    <s v="First Class"/>
    <s v="United States"/>
    <s v="California"/>
    <s v="San Francisco"/>
    <x v="1"/>
    <s v="94122"/>
    <s v="OFF-ST-10002205"/>
    <x v="1"/>
    <x v="6"/>
    <s v="File Shuttle I and Handi-File"/>
    <n v="155.82"/>
    <n v="42.071399999999997"/>
    <n v="0.27"/>
    <n v="7"/>
    <x v="0"/>
    <x v="0"/>
    <x v="10"/>
    <x v="10"/>
  </r>
  <r>
    <n v="897"/>
    <s v="CA-2016-140634"/>
    <x v="76"/>
    <d v="2016-06-10T00:00:00"/>
    <n v="92"/>
    <s v="HL-15040"/>
    <s v="Hunter Lopez"/>
    <x v="0"/>
    <s v="Second Class"/>
    <s v="United States"/>
    <s v="Texas"/>
    <s v="Houston"/>
    <x v="2"/>
    <s v="77095"/>
    <s v="OFF-EN-10001099"/>
    <x v="1"/>
    <x v="5"/>
    <s v="Staple envelope"/>
    <n v="15.648"/>
    <n v="5.0856000000000003"/>
    <n v="0.32500000000000001"/>
    <n v="2"/>
    <x v="1"/>
    <x v="0"/>
    <x v="4"/>
    <x v="4"/>
  </r>
  <r>
    <n v="900"/>
    <s v="US-2016-114622"/>
    <x v="77"/>
    <d v="2016-12-04T00:00:00"/>
    <n v="61"/>
    <s v="JR-16210"/>
    <s v="Justin Ritter"/>
    <x v="1"/>
    <s v="First Class"/>
    <s v="United States"/>
    <s v="Ohio"/>
    <s v="Springfield"/>
    <x v="3"/>
    <s v="45503"/>
    <s v="OFF-BI-10004716"/>
    <x v="1"/>
    <x v="1"/>
    <s v="Wilson Jones Hanging Recycled Pressboard Data Binders"/>
    <n v="8.9039999999999999"/>
    <n v="-6.5296000000000003"/>
    <n v="-0.73333333333333339"/>
    <n v="2"/>
    <x v="3"/>
    <x v="0"/>
    <x v="10"/>
    <x v="10"/>
  </r>
  <r>
    <n v="904"/>
    <s v="CA-2016-130477"/>
    <x v="78"/>
    <d v="2016-12-04T00:00:00"/>
    <n v="122"/>
    <s v="LC-17140"/>
    <s v="Logan Currie"/>
    <x v="0"/>
    <s v="Standard Class"/>
    <s v="United States"/>
    <s v="California"/>
    <s v="Los Angeles"/>
    <x v="1"/>
    <s v="90032"/>
    <s v="OFF-PA-10002947"/>
    <x v="1"/>
    <x v="4"/>
    <s v="Xerox 1923"/>
    <n v="20.04"/>
    <n v="9.6191999999999993"/>
    <n v="0.48"/>
    <n v="3"/>
    <x v="0"/>
    <x v="0"/>
    <x v="0"/>
    <x v="0"/>
  </r>
  <r>
    <n v="910"/>
    <s v="CA-2017-137596"/>
    <x v="79"/>
    <d v="2017-07-09T00:00:00"/>
    <n v="150"/>
    <s v="BE-11335"/>
    <s v="Bill Eplett"/>
    <x v="2"/>
    <s v="Standard Class"/>
    <s v="United States"/>
    <s v="Michigan"/>
    <s v="Jackson"/>
    <x v="2"/>
    <s v="49201"/>
    <s v="TEC-PH-10001494"/>
    <x v="2"/>
    <x v="2"/>
    <s v="Polycom CX600 IP Phone VoIP phone"/>
    <n v="1199.8"/>
    <n v="323.94600000000003"/>
    <n v="0.27"/>
    <n v="4"/>
    <x v="0"/>
    <x v="2"/>
    <x v="7"/>
    <x v="7"/>
  </r>
  <r>
    <n v="928"/>
    <s v="CA-2015-115091"/>
    <x v="80"/>
    <d v="2015-09-10T00:00:00"/>
    <n v="123"/>
    <s v="JJ-15760"/>
    <s v="Joel Jenkins"/>
    <x v="2"/>
    <s v="Standard Class"/>
    <s v="United States"/>
    <s v="Virginia"/>
    <s v="Springfield"/>
    <x v="0"/>
    <s v="22153"/>
    <s v="OFF-AR-10000658"/>
    <x v="1"/>
    <x v="3"/>
    <s v="Newell 324"/>
    <n v="46.2"/>
    <n v="12.936"/>
    <n v="0.27999999999999997"/>
    <n v="4"/>
    <x v="0"/>
    <x v="3"/>
    <x v="1"/>
    <x v="1"/>
  </r>
  <r>
    <n v="933"/>
    <s v="CA-2017-114216"/>
    <x v="79"/>
    <d v="2017-06-09T00:00:00"/>
    <n v="120"/>
    <s v="RK-19300"/>
    <s v="Ralph Kennedy"/>
    <x v="0"/>
    <s v="Standard Class"/>
    <s v="United States"/>
    <s v="Pennsylvania"/>
    <s v="Philadelphia"/>
    <x v="3"/>
    <s v="19140"/>
    <s v="OFF-PA-10002195"/>
    <x v="1"/>
    <x v="4"/>
    <s v="RSVP Cards &amp; Envelopes, Blank White, 8-1/2&quot; X 11&quot;, 24 Cards/25 Envelopes/Set"/>
    <n v="12.192"/>
    <n v="4.1147999999999998"/>
    <n v="0.33749999999999997"/>
    <n v="3"/>
    <x v="1"/>
    <x v="2"/>
    <x v="7"/>
    <x v="7"/>
  </r>
  <r>
    <n v="953"/>
    <s v="CA-2017-131156"/>
    <x v="81"/>
    <d v="2017-07-04T00:00:00"/>
    <n v="122"/>
    <s v="KH-16360"/>
    <s v="Katherine Hughes"/>
    <x v="0"/>
    <s v="Standard Class"/>
    <s v="United States"/>
    <s v="Pennsylvania"/>
    <s v="Philadelphia"/>
    <x v="3"/>
    <s v="19143"/>
    <s v="FUR-FU-10001940"/>
    <x v="0"/>
    <x v="7"/>
    <s v="Staple-based wall hangings"/>
    <n v="25.472000000000001"/>
    <n v="7.6416000000000004"/>
    <n v="0.3"/>
    <n v="4"/>
    <x v="1"/>
    <x v="2"/>
    <x v="4"/>
    <x v="4"/>
  </r>
  <r>
    <n v="963"/>
    <s v="CA-2016-120859"/>
    <x v="82"/>
    <d v="2016-04-09T00:00:00"/>
    <n v="91"/>
    <s v="CV-12805"/>
    <s v="Cynthia Voltz"/>
    <x v="1"/>
    <s v="First Class"/>
    <s v="United States"/>
    <s v="California"/>
    <s v="San Francisco"/>
    <x v="1"/>
    <s v="94110"/>
    <s v="OFF-EN-10001335"/>
    <x v="1"/>
    <x v="5"/>
    <s v="White Business Envelopes with Contemporary Seam, Recycled White Business Envelopes"/>
    <n v="21.88"/>
    <n v="10.94"/>
    <n v="0.5"/>
    <n v="2"/>
    <x v="0"/>
    <x v="0"/>
    <x v="6"/>
    <x v="6"/>
  </r>
  <r>
    <n v="965"/>
    <s v="CA-2017-135279"/>
    <x v="83"/>
    <d v="2017-11-04T00:00:00"/>
    <n v="61"/>
    <s v="BS-11800"/>
    <s v="Bryan Spruell"/>
    <x v="2"/>
    <s v="First Class"/>
    <s v="United States"/>
    <s v="New York"/>
    <s v="New York City"/>
    <x v="3"/>
    <s v="10011"/>
    <s v="OFF-LA-10004055"/>
    <x v="1"/>
    <x v="10"/>
    <s v="Color-Coded Legal Exhibit Labels"/>
    <n v="9.82"/>
    <n v="4.8117999999999999"/>
    <n v="0.49"/>
    <n v="2"/>
    <x v="0"/>
    <x v="2"/>
    <x v="3"/>
    <x v="3"/>
  </r>
  <r>
    <n v="980"/>
    <s v="CA-2015-157035"/>
    <x v="84"/>
    <d v="2015-12-12T00:00:00"/>
    <n v="91"/>
    <s v="KB-16600"/>
    <s v="Ken Brennan"/>
    <x v="1"/>
    <s v="First Class"/>
    <s v="United States"/>
    <s v="Indiana"/>
    <s v="Columbus"/>
    <x v="2"/>
    <s v="47201"/>
    <s v="OFF-PA-10004156"/>
    <x v="1"/>
    <x v="4"/>
    <s v="Xerox 188"/>
    <n v="34.020000000000003"/>
    <n v="16.669799999999999"/>
    <n v="0.48999999999999994"/>
    <n v="3"/>
    <x v="0"/>
    <x v="3"/>
    <x v="3"/>
    <x v="3"/>
  </r>
  <r>
    <n v="981"/>
    <s v="CA-2016-144939"/>
    <x v="76"/>
    <d v="2016-08-10T00:00:00"/>
    <n v="153"/>
    <s v="EB-13870"/>
    <s v="Emily Burns"/>
    <x v="0"/>
    <s v="Standard Class"/>
    <s v="United States"/>
    <s v="New York"/>
    <s v="New York City"/>
    <x v="3"/>
    <s v="10035"/>
    <s v="FUR-CH-10003199"/>
    <x v="0"/>
    <x v="12"/>
    <s v="Office Star - Contemporary Task Swivel Chair"/>
    <n v="599.29200000000003"/>
    <n v="93.223200000000006"/>
    <n v="0.15555555555555556"/>
    <n v="6"/>
    <x v="7"/>
    <x v="0"/>
    <x v="4"/>
    <x v="4"/>
  </r>
  <r>
    <n v="988"/>
    <s v="CA-2015-146829"/>
    <x v="85"/>
    <d v="2015-10-03T00:00:00"/>
    <n v="0"/>
    <s v="TS-21340"/>
    <s v="Toby Swindell"/>
    <x v="0"/>
    <s v="Same Day"/>
    <s v="United States"/>
    <s v="Texas"/>
    <s v="Houston"/>
    <x v="2"/>
    <s v="77041"/>
    <s v="OFF-BI-10004022"/>
    <x v="1"/>
    <x v="1"/>
    <s v="Acco Suede Grain Vinyl Round Ring Binder"/>
    <n v="1.1120000000000001"/>
    <n v="-1.8904000000000001"/>
    <n v="-1.7"/>
    <n v="2"/>
    <x v="2"/>
    <x v="3"/>
    <x v="10"/>
    <x v="10"/>
  </r>
  <r>
    <n v="1007"/>
    <s v="CA-2015-105312"/>
    <x v="86"/>
    <d v="2015-09-11T00:00:00"/>
    <n v="92"/>
    <s v="MT-17815"/>
    <s v="Meg Tillman"/>
    <x v="0"/>
    <s v="First Class"/>
    <s v="United States"/>
    <s v="Arizona"/>
    <s v="Scottsdale"/>
    <x v="1"/>
    <s v="85254"/>
    <s v="OFF-EN-10002600"/>
    <x v="1"/>
    <x v="5"/>
    <s v="Redi-Strip #10 Envelopes, 4 1/8 x 9 1/2"/>
    <n v="7.08"/>
    <n v="2.4780000000000002"/>
    <n v="0.35000000000000003"/>
    <n v="3"/>
    <x v="1"/>
    <x v="3"/>
    <x v="5"/>
    <x v="5"/>
  </r>
  <r>
    <n v="1017"/>
    <s v="CA-2015-108665"/>
    <x v="87"/>
    <d v="2015-10-07T00:00:00"/>
    <n v="122"/>
    <s v="KM-16225"/>
    <s v="Kalyca Meade"/>
    <x v="1"/>
    <s v="Standard Class"/>
    <s v="United States"/>
    <s v="New York"/>
    <s v="New York City"/>
    <x v="3"/>
    <s v="10011"/>
    <s v="FUR-FU-10002191"/>
    <x v="0"/>
    <x v="7"/>
    <s v="G.E. Halogen Desk Lamp Bulbs"/>
    <n v="13.96"/>
    <n v="6.7008000000000001"/>
    <n v="0.48"/>
    <n v="2"/>
    <x v="0"/>
    <x v="3"/>
    <x v="5"/>
    <x v="5"/>
  </r>
  <r>
    <n v="1042"/>
    <s v="CA-2016-102981"/>
    <x v="10"/>
    <d v="2016-09-09T00:00:00"/>
    <n v="92"/>
    <s v="MO-17500"/>
    <s v="Mary O'Rourke"/>
    <x v="0"/>
    <s v="Second Class"/>
    <s v="United States"/>
    <s v="New York"/>
    <s v="New York City"/>
    <x v="3"/>
    <s v="10035"/>
    <s v="TEC-AC-10004761"/>
    <x v="2"/>
    <x v="11"/>
    <s v="Maxell 4.7GB DVD+RW 3/Pack"/>
    <n v="31.86"/>
    <n v="11.151"/>
    <n v="0.35"/>
    <n v="2"/>
    <x v="0"/>
    <x v="0"/>
    <x v="5"/>
    <x v="5"/>
  </r>
  <r>
    <n v="1044"/>
    <s v="CA-2017-115651"/>
    <x v="88"/>
    <d v="2017-12-07T00:00:00"/>
    <n v="91"/>
    <s v="NS-18640"/>
    <s v="Noel Staavos"/>
    <x v="1"/>
    <s v="First Class"/>
    <s v="United States"/>
    <s v="Illinois"/>
    <s v="Chicago"/>
    <x v="2"/>
    <s v="60610"/>
    <s v="OFF-AR-10001130"/>
    <x v="1"/>
    <x v="3"/>
    <s v="Quartet Alpha White Chalk, 12/Pack"/>
    <n v="8.84"/>
    <n v="2.9834999999999998"/>
    <n v="0.33749999999999997"/>
    <n v="5"/>
    <x v="1"/>
    <x v="2"/>
    <x v="3"/>
    <x v="3"/>
  </r>
  <r>
    <n v="1051"/>
    <s v="US-2015-153500"/>
    <x v="54"/>
    <d v="2015-05-07T00:00:00"/>
    <n v="61"/>
    <s v="DG-13300"/>
    <s v="Deirdre Greer"/>
    <x v="1"/>
    <s v="First Class"/>
    <s v="United States"/>
    <s v="Pennsylvania"/>
    <s v="Philadelphia"/>
    <x v="3"/>
    <s v="19134"/>
    <s v="FUR-FU-10000293"/>
    <x v="0"/>
    <x v="7"/>
    <s v="Eldon Antistatic Chair Mats for Low to Medium Pile Carpets"/>
    <n v="168.464"/>
    <n v="-29.481200000000001"/>
    <n v="-0.17500000000000002"/>
    <n v="2"/>
    <x v="1"/>
    <x v="3"/>
    <x v="4"/>
    <x v="4"/>
  </r>
  <r>
    <n v="1054"/>
    <s v="CA-2015-110667"/>
    <x v="89"/>
    <d v="2015-08-04T00:00:00"/>
    <n v="122"/>
    <s v="NF-18595"/>
    <s v="Nicole Fjeld"/>
    <x v="2"/>
    <s v="Standard Class"/>
    <s v="United States"/>
    <s v="New York"/>
    <s v="New York City"/>
    <x v="3"/>
    <s v="10009"/>
    <s v="OFF-AR-10000716"/>
    <x v="1"/>
    <x v="3"/>
    <s v="DIXON Ticonderoga Erasable Checking Pencils"/>
    <n v="11.16"/>
    <n v="4.3524000000000003"/>
    <n v="0.39"/>
    <n v="2"/>
    <x v="0"/>
    <x v="3"/>
    <x v="2"/>
    <x v="2"/>
  </r>
  <r>
    <n v="1087"/>
    <s v="CA-2016-167584"/>
    <x v="90"/>
    <d v="2016-12-08T00:00:00"/>
    <n v="0"/>
    <s v="LC-16870"/>
    <s v="Lena Cacioppo"/>
    <x v="0"/>
    <s v="Same Day"/>
    <s v="United States"/>
    <s v="Iowa"/>
    <s v="Des Moines"/>
    <x v="2"/>
    <s v="50315"/>
    <s v="OFF-PA-10000029"/>
    <x v="1"/>
    <x v="4"/>
    <s v="Xerox 224"/>
    <n v="6.48"/>
    <n v="3.1103999999999998"/>
    <n v="0.47999999999999993"/>
    <n v="1"/>
    <x v="0"/>
    <x v="0"/>
    <x v="11"/>
    <x v="11"/>
  </r>
  <r>
    <n v="1128"/>
    <s v="CA-2015-105970"/>
    <x v="13"/>
    <d v="2015-07-03T00:00:00"/>
    <n v="150"/>
    <s v="PA-19060"/>
    <s v="Pete Armstrong"/>
    <x v="2"/>
    <s v="Standard Class"/>
    <s v="United States"/>
    <s v="Indiana"/>
    <s v="Richmond"/>
    <x v="2"/>
    <s v="47374"/>
    <s v="OFF-AR-10003156"/>
    <x v="1"/>
    <x v="3"/>
    <s v="50 Colored Long Pencils"/>
    <n v="10.16"/>
    <n v="2.6415999999999999"/>
    <n v="0.26"/>
    <n v="1"/>
    <x v="0"/>
    <x v="3"/>
    <x v="7"/>
    <x v="7"/>
  </r>
  <r>
    <n v="1136"/>
    <s v="US-2016-148803"/>
    <x v="91"/>
    <d v="2016-11-12T00:00:00"/>
    <n v="0"/>
    <s v="LR-16915"/>
    <s v="Lena Radford"/>
    <x v="0"/>
    <s v="Same Day"/>
    <s v="United States"/>
    <s v="Florida"/>
    <s v="Homestead"/>
    <x v="0"/>
    <s v="33030"/>
    <s v="OFF-ST-10001476"/>
    <x v="1"/>
    <x v="6"/>
    <s v="Steel Personal Filing/Posting Tote"/>
    <n v="85.224000000000004"/>
    <n v="7.4570999999999996"/>
    <n v="8.7499999999999994E-2"/>
    <n v="3"/>
    <x v="1"/>
    <x v="0"/>
    <x v="8"/>
    <x v="8"/>
  </r>
  <r>
    <n v="1147"/>
    <s v="CA-2015-112452"/>
    <x v="89"/>
    <d v="2015-04-04T00:00:00"/>
    <n v="0"/>
    <s v="NC-18340"/>
    <s v="Nat Carroll"/>
    <x v="0"/>
    <s v="Same Day"/>
    <s v="United States"/>
    <s v="Michigan"/>
    <s v="Lansing"/>
    <x v="2"/>
    <s v="48911"/>
    <s v="OFF-AP-10003849"/>
    <x v="1"/>
    <x v="8"/>
    <s v="Hoover Shoulder Vac Commercial Portable Vacuum"/>
    <n v="644.07600000000002"/>
    <n v="107.346"/>
    <n v="0.16666666666666666"/>
    <n v="2"/>
    <x v="7"/>
    <x v="3"/>
    <x v="2"/>
    <x v="2"/>
  </r>
  <r>
    <n v="1159"/>
    <s v="CA-2016-149314"/>
    <x v="92"/>
    <d v="2016-07-07T00:00:00"/>
    <n v="151"/>
    <s v="GB-14530"/>
    <s v="George Bell"/>
    <x v="1"/>
    <s v="Second Class"/>
    <s v="United States"/>
    <s v="California"/>
    <s v="Los Angeles"/>
    <x v="1"/>
    <s v="90004"/>
    <s v="FUR-CH-10002126"/>
    <x v="0"/>
    <x v="12"/>
    <s v="Hon Deluxe Fabric Upholstered Stacking Chairs"/>
    <n v="195.184"/>
    <n v="19.5184"/>
    <n v="0.1"/>
    <n v="1"/>
    <x v="1"/>
    <x v="0"/>
    <x v="7"/>
    <x v="7"/>
  </r>
  <r>
    <n v="1162"/>
    <s v="CA-2014-126522"/>
    <x v="93"/>
    <d v="2014-05-09T00:00:00"/>
    <n v="120"/>
    <s v="LT-16765"/>
    <s v="Larry Tron"/>
    <x v="0"/>
    <s v="Second Class"/>
    <s v="United States"/>
    <s v="California"/>
    <s v="Escondido"/>
    <x v="1"/>
    <s v="92025"/>
    <s v="OFF-AR-10004042"/>
    <x v="1"/>
    <x v="3"/>
    <s v="BOSTON Model 1800 Electric Pencil Sharpeners, Putty/Woodgrain"/>
    <n v="53.94"/>
    <n v="15.6426"/>
    <n v="0.29000000000000004"/>
    <n v="3"/>
    <x v="0"/>
    <x v="1"/>
    <x v="6"/>
    <x v="6"/>
  </r>
  <r>
    <n v="1163"/>
    <s v="CA-2014-127964"/>
    <x v="52"/>
    <d v="2014-08-03T00:00:00"/>
    <n v="153"/>
    <s v="AP-10720"/>
    <s v="Anne Pryor"/>
    <x v="2"/>
    <s v="Standard Class"/>
    <s v="United States"/>
    <s v="New York"/>
    <s v="New York City"/>
    <x v="3"/>
    <s v="10035"/>
    <s v="TEC-PH-10004700"/>
    <x v="2"/>
    <x v="2"/>
    <s v="PowerGen Dual USB Car Charger"/>
    <n v="9.99"/>
    <n v="4.5953999999999997"/>
    <n v="0.45999999999999996"/>
    <n v="1"/>
    <x v="0"/>
    <x v="1"/>
    <x v="4"/>
    <x v="4"/>
  </r>
  <r>
    <n v="1168"/>
    <s v="CA-2017-145226"/>
    <x v="39"/>
    <d v="2017-10-12T00:00:00"/>
    <n v="61"/>
    <s v="DL-13315"/>
    <s v="Delfina Latchford"/>
    <x v="0"/>
    <s v="Second Class"/>
    <s v="United States"/>
    <s v="New York"/>
    <s v="New York City"/>
    <x v="3"/>
    <s v="10035"/>
    <s v="FUR-FU-10004952"/>
    <x v="0"/>
    <x v="7"/>
    <s v="C-Line Cubicle Keepers Polyproplyene Holder w/Velcro Back, 8-1/2x11, 25/Bx"/>
    <n v="109.48"/>
    <n v="33.938800000000001"/>
    <n v="0.31"/>
    <n v="2"/>
    <x v="0"/>
    <x v="2"/>
    <x v="0"/>
    <x v="0"/>
  </r>
  <r>
    <n v="1178"/>
    <s v="CA-2016-113621"/>
    <x v="11"/>
    <d v="2016-05-12T00:00:00"/>
    <n v="121"/>
    <s v="JE-15745"/>
    <s v="Joel Eaton"/>
    <x v="0"/>
    <s v="Standard Class"/>
    <s v="United States"/>
    <s v="Maryland"/>
    <s v="Rockville"/>
    <x v="3"/>
    <s v="20852"/>
    <s v="FUR-CH-10001270"/>
    <x v="0"/>
    <x v="12"/>
    <s v="Harbour Creations Steel Folding Chair"/>
    <n v="172.5"/>
    <n v="51.75"/>
    <n v="0.3"/>
    <n v="2"/>
    <x v="0"/>
    <x v="0"/>
    <x v="6"/>
    <x v="6"/>
  </r>
  <r>
    <n v="1198"/>
    <s v="CA-2016-130946"/>
    <x v="78"/>
    <d v="2016-12-04T00:00:00"/>
    <n v="122"/>
    <s v="ZC-21910"/>
    <s v="Zuschuss Carroll"/>
    <x v="0"/>
    <s v="Standard Class"/>
    <s v="United States"/>
    <s v="Texas"/>
    <s v="Houston"/>
    <x v="2"/>
    <s v="77041"/>
    <s v="TEC-AC-10001990"/>
    <x v="2"/>
    <x v="11"/>
    <s v="Kensington Orbit Wireless Mobile Trackball for PC and Mac"/>
    <n v="431.928"/>
    <n v="64.789199999999994"/>
    <n v="0.15"/>
    <n v="9"/>
    <x v="1"/>
    <x v="0"/>
    <x v="0"/>
    <x v="0"/>
  </r>
  <r>
    <n v="1206"/>
    <s v="CA-2017-133235"/>
    <x v="94"/>
    <d v="2017-04-08T00:00:00"/>
    <n v="90"/>
    <s v="LH-16750"/>
    <s v="Larry Hughes"/>
    <x v="0"/>
    <s v="First Class"/>
    <s v="United States"/>
    <s v="North Carolina"/>
    <s v="Charlotte"/>
    <x v="0"/>
    <s v="28205"/>
    <s v="TEC-PH-10002660"/>
    <x v="2"/>
    <x v="2"/>
    <s v="Nortel Networks T7316 E Nt8 B27"/>
    <n v="271.95999999999998"/>
    <n v="16.997499999999999"/>
    <n v="6.25E-2"/>
    <n v="5"/>
    <x v="1"/>
    <x v="2"/>
    <x v="6"/>
    <x v="6"/>
  </r>
  <r>
    <n v="1253"/>
    <s v="CA-2015-154956"/>
    <x v="95"/>
    <d v="2015-09-07T00:00:00"/>
    <n v="153"/>
    <s v="IM-15070"/>
    <s v="Irene Maddox"/>
    <x v="0"/>
    <s v="Standard Class"/>
    <s v="United States"/>
    <s v="Wisconsin"/>
    <s v="Milwaukee"/>
    <x v="2"/>
    <s v="53209"/>
    <s v="TEC-PH-10004165"/>
    <x v="2"/>
    <x v="2"/>
    <s v="Mitel MiVoice 5330e IP Phone"/>
    <n v="1099.96"/>
    <n v="285.9896"/>
    <n v="0.26"/>
    <n v="4"/>
    <x v="0"/>
    <x v="3"/>
    <x v="2"/>
    <x v="2"/>
  </r>
  <r>
    <n v="1266"/>
    <s v="CA-2017-110380"/>
    <x v="79"/>
    <d v="2017-07-09T00:00:00"/>
    <n v="150"/>
    <s v="PF-19225"/>
    <s v="Phillip Flathmann"/>
    <x v="0"/>
    <s v="Standard Class"/>
    <s v="United States"/>
    <s v="California"/>
    <s v="San Francisco"/>
    <x v="1"/>
    <s v="94122"/>
    <s v="OFF-AR-10000422"/>
    <x v="1"/>
    <x v="3"/>
    <s v="Pencil and Crayon Sharpener"/>
    <n v="6.57"/>
    <n v="1.7739"/>
    <n v="0.27"/>
    <n v="3"/>
    <x v="0"/>
    <x v="2"/>
    <x v="7"/>
    <x v="7"/>
  </r>
  <r>
    <n v="1270"/>
    <s v="CA-2017-100426"/>
    <x v="96"/>
    <d v="2017-08-06T00:00:00"/>
    <n v="122"/>
    <s v="DC-12850"/>
    <s v="Dan Campbell"/>
    <x v="0"/>
    <s v="Standard Class"/>
    <s v="United States"/>
    <s v="Alabama"/>
    <s v="Florence"/>
    <x v="0"/>
    <s v="35630"/>
    <s v="OFF-PA-10002870"/>
    <x v="1"/>
    <x v="4"/>
    <s v="Ampad Phone Message Book, Recycled, 400 Message Capacity, 5 ¾” x 11”"/>
    <n v="12.48"/>
    <n v="5.6159999999999997"/>
    <n v="0.44999999999999996"/>
    <n v="2"/>
    <x v="0"/>
    <x v="2"/>
    <x v="2"/>
    <x v="2"/>
  </r>
  <r>
    <n v="1278"/>
    <s v="CA-2016-148698"/>
    <x v="97"/>
    <d v="2016-07-05T00:00:00"/>
    <n v="151"/>
    <s v="BD-11770"/>
    <s v="Bryan Davis"/>
    <x v="0"/>
    <s v="Standard Class"/>
    <s v="United States"/>
    <s v="Texas"/>
    <s v="Houston"/>
    <x v="2"/>
    <s v="77070"/>
    <s v="OFF-AR-10004022"/>
    <x v="1"/>
    <x v="3"/>
    <s v="Panasonic KP-380BK Classic Electric Pencil Sharpener"/>
    <n v="86.352000000000004"/>
    <n v="5.3970000000000002"/>
    <n v="6.25E-2"/>
    <n v="3"/>
    <x v="1"/>
    <x v="0"/>
    <x v="7"/>
    <x v="7"/>
  </r>
  <r>
    <n v="1279"/>
    <s v="CA-2014-163293"/>
    <x v="20"/>
    <d v="2014-11-09T00:00:00"/>
    <n v="92"/>
    <s v="KC-16255"/>
    <s v="Karen Carlisle"/>
    <x v="1"/>
    <s v="First Class"/>
    <s v="United States"/>
    <s v="Georgia"/>
    <s v="Macon"/>
    <x v="0"/>
    <s v="31204"/>
    <s v="TEC-AC-10004209"/>
    <x v="2"/>
    <x v="11"/>
    <s v="Memorex Froggy Flash Drive 4 GB"/>
    <n v="32.97"/>
    <n v="12.8583"/>
    <n v="0.39"/>
    <n v="3"/>
    <x v="0"/>
    <x v="1"/>
    <x v="0"/>
    <x v="0"/>
  </r>
  <r>
    <n v="1281"/>
    <s v="CA-2016-160815"/>
    <x v="17"/>
    <d v="2016-06-09T00:00:00"/>
    <n v="31"/>
    <s v="TR-21325"/>
    <s v="Toby Ritter"/>
    <x v="0"/>
    <s v="First Class"/>
    <s v="United States"/>
    <s v="Iowa"/>
    <s v="Cedar Rapids"/>
    <x v="2"/>
    <s v="52402"/>
    <s v="TEC-PH-10003505"/>
    <x v="2"/>
    <x v="2"/>
    <s v="Geemarc AmpliPOWER60"/>
    <n v="278.39999999999998"/>
    <n v="80.736000000000004"/>
    <n v="0.29000000000000004"/>
    <n v="3"/>
    <x v="0"/>
    <x v="0"/>
    <x v="1"/>
    <x v="1"/>
  </r>
  <r>
    <n v="1282"/>
    <s v="CA-2017-122154"/>
    <x v="83"/>
    <d v="2017-11-04T00:00:00"/>
    <n v="61"/>
    <s v="SA-20830"/>
    <s v="Sue Ann Reed"/>
    <x v="0"/>
    <s v="First Class"/>
    <s v="United States"/>
    <s v="Florida"/>
    <s v="Jacksonville"/>
    <x v="0"/>
    <s v="32216"/>
    <s v="OFF-LA-10000121"/>
    <x v="1"/>
    <x v="10"/>
    <s v="Avery 48"/>
    <n v="15.12"/>
    <n v="4.9139999999999997"/>
    <n v="0.32500000000000001"/>
    <n v="3"/>
    <x v="1"/>
    <x v="2"/>
    <x v="3"/>
    <x v="3"/>
  </r>
  <r>
    <n v="1285"/>
    <s v="US-2015-149692"/>
    <x v="98"/>
    <d v="2015-12-12T00:00:00"/>
    <n v="183"/>
    <s v="KW-16435"/>
    <s v="Katrina Willman"/>
    <x v="0"/>
    <s v="Standard Class"/>
    <s v="United States"/>
    <s v="Texas"/>
    <s v="Austin"/>
    <x v="2"/>
    <s v="78745"/>
    <s v="OFF-BI-10002813"/>
    <x v="1"/>
    <x v="1"/>
    <s v="Avery Reinforcements for Hole-Punch Pages"/>
    <n v="2.7719999999999998"/>
    <n v="-4.851"/>
    <n v="-1.7500000000000002"/>
    <n v="7"/>
    <x v="2"/>
    <x v="3"/>
    <x v="5"/>
    <x v="5"/>
  </r>
  <r>
    <n v="1287"/>
    <s v="CA-2015-124268"/>
    <x v="95"/>
    <d v="2015-08-07T00:00:00"/>
    <n v="122"/>
    <s v="AD-10180"/>
    <s v="Alan Dominguez"/>
    <x v="2"/>
    <s v="Standard Class"/>
    <s v="United States"/>
    <s v="New York"/>
    <s v="New York City"/>
    <x v="3"/>
    <s v="10035"/>
    <s v="OFF-AR-10004817"/>
    <x v="1"/>
    <x v="3"/>
    <s v="Colorific Watercolor Pencils"/>
    <n v="15.48"/>
    <n v="4.4892000000000003"/>
    <n v="0.29000000000000004"/>
    <n v="3"/>
    <x v="0"/>
    <x v="3"/>
    <x v="2"/>
    <x v="2"/>
  </r>
  <r>
    <n v="1291"/>
    <s v="CA-2016-163384"/>
    <x v="75"/>
    <d v="2016-12-11T00:00:00"/>
    <n v="61"/>
    <s v="CC-12430"/>
    <s v="Chuck Clark"/>
    <x v="2"/>
    <s v="First Class"/>
    <s v="United States"/>
    <s v="California"/>
    <s v="San Francisco"/>
    <x v="1"/>
    <s v="94122"/>
    <s v="OFF-BI-10004970"/>
    <x v="1"/>
    <x v="1"/>
    <s v="ACCOHIDE 3-Ring Binder, Blue, 1&quot;"/>
    <n v="13.215999999999999"/>
    <n v="4.4603999999999999"/>
    <n v="0.33750000000000002"/>
    <n v="4"/>
    <x v="1"/>
    <x v="0"/>
    <x v="10"/>
    <x v="10"/>
  </r>
  <r>
    <n v="1300"/>
    <s v="CA-2015-121391"/>
    <x v="55"/>
    <d v="2015-07-10T00:00:00"/>
    <n v="91"/>
    <s v="AA-10315"/>
    <s v="Alex Avila"/>
    <x v="0"/>
    <s v="First Class"/>
    <s v="United States"/>
    <s v="California"/>
    <s v="San Francisco"/>
    <x v="1"/>
    <s v="94109"/>
    <s v="OFF-ST-10001590"/>
    <x v="1"/>
    <x v="6"/>
    <s v="Tenex Personal Project File with Scoop Front Design, Black"/>
    <n v="26.96"/>
    <n v="7.0095999999999998"/>
    <n v="0.26"/>
    <n v="2"/>
    <x v="0"/>
    <x v="3"/>
    <x v="2"/>
    <x v="2"/>
  </r>
  <r>
    <n v="1304"/>
    <s v="US-2017-126179"/>
    <x v="99"/>
    <d v="2017-07-07T00:00:00"/>
    <n v="122"/>
    <s v="CS-12460"/>
    <s v="Chuck Sachs"/>
    <x v="0"/>
    <s v="Standard Class"/>
    <s v="United States"/>
    <s v="Georgia"/>
    <s v="Columbus"/>
    <x v="0"/>
    <s v="31907"/>
    <s v="FUR-FU-10002554"/>
    <x v="0"/>
    <x v="7"/>
    <s v="Westinghouse Floor Lamp with Metal Mesh Shade, Black"/>
    <n v="23.99"/>
    <n v="5.5176999999999996"/>
    <n v="0.23"/>
    <n v="1"/>
    <x v="0"/>
    <x v="2"/>
    <x v="4"/>
    <x v="4"/>
  </r>
  <r>
    <n v="1323"/>
    <s v="CA-2017-121804"/>
    <x v="100"/>
    <d v="2017-08-03T00:00:00"/>
    <n v="153"/>
    <s v="LP-17095"/>
    <s v="Liz Preis"/>
    <x v="0"/>
    <s v="Standard Class"/>
    <s v="United States"/>
    <s v="Kentucky"/>
    <s v="Murray"/>
    <x v="0"/>
    <s v="42071"/>
    <s v="OFF-AP-10004859"/>
    <x v="1"/>
    <x v="8"/>
    <s v="Acco 6 Outlet Guardian Premium Surge Suppressor"/>
    <n v="72.8"/>
    <n v="19.655999999999999"/>
    <n v="0.27"/>
    <n v="5"/>
    <x v="0"/>
    <x v="2"/>
    <x v="4"/>
    <x v="4"/>
  </r>
  <r>
    <n v="1324"/>
    <s v="CA-2017-162635"/>
    <x v="101"/>
    <d v="2017-10-10T00:00:00"/>
    <n v="30"/>
    <s v="EB-14170"/>
    <s v="Evan Bailliet"/>
    <x v="0"/>
    <s v="First Class"/>
    <s v="United States"/>
    <s v="North Carolina"/>
    <s v="Wilmington"/>
    <x v="0"/>
    <s v="28403"/>
    <s v="OFF-PA-10002659"/>
    <x v="1"/>
    <x v="4"/>
    <s v="Avoid Verbal Orders Carbonless Minifold Book"/>
    <n v="10.816000000000001"/>
    <n v="3.5152000000000001"/>
    <n v="0.32500000000000001"/>
    <n v="4"/>
    <x v="1"/>
    <x v="2"/>
    <x v="3"/>
    <x v="3"/>
  </r>
  <r>
    <n v="1331"/>
    <s v="CA-2017-127705"/>
    <x v="102"/>
    <d v="2017-06-06T00:00:00"/>
    <n v="120"/>
    <s v="AB-10255"/>
    <s v="Alejandro Ballentine"/>
    <x v="2"/>
    <s v="Standard Class"/>
    <s v="United States"/>
    <s v="Ohio"/>
    <s v="Lorain"/>
    <x v="3"/>
    <s v="44052"/>
    <s v="TEC-PH-10000347"/>
    <x v="2"/>
    <x v="2"/>
    <s v="Cush Cases Heavy Duty Rugged Cover Case for Samsung Galaxy S5 - Purple"/>
    <n v="2.97"/>
    <n v="-0.64349999999999996"/>
    <n v="-0.21666666666666665"/>
    <n v="1"/>
    <x v="4"/>
    <x v="2"/>
    <x v="7"/>
    <x v="7"/>
  </r>
  <r>
    <n v="1335"/>
    <s v="CA-2014-121664"/>
    <x v="103"/>
    <d v="2014-10-05T00:00:00"/>
    <n v="122"/>
    <s v="HP-14815"/>
    <s v="Harold Pawlan"/>
    <x v="2"/>
    <s v="Standard Class"/>
    <s v="United States"/>
    <s v="California"/>
    <s v="Los Angeles"/>
    <x v="1"/>
    <s v="90049"/>
    <s v="OFF-BI-10003684"/>
    <x v="1"/>
    <x v="1"/>
    <s v="Wilson Jones Legal Size Ring Binders"/>
    <n v="140.73599999999999"/>
    <n v="52.776000000000003"/>
    <n v="0.37500000000000006"/>
    <n v="8"/>
    <x v="1"/>
    <x v="1"/>
    <x v="5"/>
    <x v="5"/>
  </r>
  <r>
    <n v="1337"/>
    <s v="US-2017-123281"/>
    <x v="104"/>
    <d v="2017-07-04T00:00:00"/>
    <n v="150"/>
    <s v="JF-15190"/>
    <s v="Jamie Frazer"/>
    <x v="0"/>
    <s v="Standard Class"/>
    <s v="United States"/>
    <s v="California"/>
    <s v="Los Angeles"/>
    <x v="1"/>
    <s v="90008"/>
    <s v="FUR-FU-10003724"/>
    <x v="0"/>
    <x v="7"/>
    <s v="Westinghouse Clip-On Gooseneck Lamps"/>
    <n v="25.11"/>
    <n v="6.5286"/>
    <n v="0.26"/>
    <n v="3"/>
    <x v="0"/>
    <x v="2"/>
    <x v="7"/>
    <x v="7"/>
  </r>
  <r>
    <n v="1341"/>
    <s v="CA-2017-113481"/>
    <x v="105"/>
    <d v="2017-04-01T00:00:00"/>
    <n v="59"/>
    <s v="AS-10045"/>
    <s v="Aaron Smayling"/>
    <x v="1"/>
    <s v="First Class"/>
    <s v="United States"/>
    <s v="North Carolina"/>
    <s v="Jacksonville"/>
    <x v="0"/>
    <s v="28540"/>
    <s v="TEC-MA-10002178"/>
    <x v="2"/>
    <x v="13"/>
    <s v="Cisco CP-7937G Unified IP Conference Station Phone"/>
    <n v="695.7"/>
    <n v="-27.827999999999999"/>
    <n v="-3.9999999999999994E-2"/>
    <n v="2"/>
    <x v="5"/>
    <x v="2"/>
    <x v="7"/>
    <x v="7"/>
  </r>
  <r>
    <n v="1351"/>
    <s v="CA-2014-153976"/>
    <x v="106"/>
    <d v="2014-08-10T00:00:00"/>
    <n v="153"/>
    <s v="BP-11290"/>
    <s v="Beth Paige"/>
    <x v="0"/>
    <s v="Second Class"/>
    <s v="United States"/>
    <s v="Illinois"/>
    <s v="Evanston"/>
    <x v="2"/>
    <s v="60201"/>
    <s v="FUR-CH-10002880"/>
    <x v="0"/>
    <x v="12"/>
    <s v="Global High-Back Leather Tilter, Burgundy"/>
    <n v="258.279"/>
    <n v="-70.104299999999995"/>
    <n v="-0.27142857142857141"/>
    <n v="3"/>
    <x v="8"/>
    <x v="1"/>
    <x v="4"/>
    <x v="4"/>
  </r>
  <r>
    <n v="1353"/>
    <s v="CA-2017-162978"/>
    <x v="107"/>
    <d v="2017-09-05T00:00:00"/>
    <n v="153"/>
    <s v="LW-16990"/>
    <s v="Lindsay Williams"/>
    <x v="1"/>
    <s v="Standard Class"/>
    <s v="United States"/>
    <s v="California"/>
    <s v="San Francisco"/>
    <x v="1"/>
    <s v="94109"/>
    <s v="TEC-PH-10003092"/>
    <x v="2"/>
    <x v="2"/>
    <s v="Motorola L804"/>
    <n v="183.96"/>
    <n v="20.695499999999999"/>
    <n v="0.11249999999999999"/>
    <n v="5"/>
    <x v="1"/>
    <x v="2"/>
    <x v="2"/>
    <x v="2"/>
  </r>
  <r>
    <n v="1358"/>
    <s v="CA-2016-145247"/>
    <x v="108"/>
    <d v="2016-07-05T00:00:00"/>
    <n v="61"/>
    <s v="ND-18370"/>
    <s v="Natalie DeCherney"/>
    <x v="0"/>
    <s v="First Class"/>
    <s v="United States"/>
    <s v="Kentucky"/>
    <s v="Louisville"/>
    <x v="0"/>
    <s v="40214"/>
    <s v="OFF-PA-10003641"/>
    <x v="1"/>
    <x v="4"/>
    <s v="Xerox 1909"/>
    <n v="79.14"/>
    <n v="36.404400000000003"/>
    <n v="0.46"/>
    <n v="3"/>
    <x v="0"/>
    <x v="0"/>
    <x v="1"/>
    <x v="1"/>
  </r>
  <r>
    <n v="1372"/>
    <s v="CA-2017-136672"/>
    <x v="109"/>
    <d v="2017-12-03T00:00:00"/>
    <n v="153"/>
    <s v="MG-17890"/>
    <s v="Michael Granlund"/>
    <x v="2"/>
    <s v="Standard Class"/>
    <s v="United States"/>
    <s v="Maryland"/>
    <s v="Clinton"/>
    <x v="3"/>
    <s v="20735"/>
    <s v="TEC-AC-10004510"/>
    <x v="2"/>
    <x v="11"/>
    <s v="Logitech Desktop MK120 Mouse and keyboard Combo"/>
    <n v="49.08"/>
    <n v="4.9080000000000004"/>
    <n v="0.1"/>
    <n v="3"/>
    <x v="0"/>
    <x v="2"/>
    <x v="9"/>
    <x v="9"/>
  </r>
  <r>
    <n v="1373"/>
    <s v="US-2014-157021"/>
    <x v="110"/>
    <d v="2014-06-04T00:00:00"/>
    <n v="151"/>
    <s v="KM-16720"/>
    <s v="Kunst Miller"/>
    <x v="0"/>
    <s v="Second Class"/>
    <s v="United States"/>
    <s v="California"/>
    <s v="Vallejo"/>
    <x v="1"/>
    <s v="94591"/>
    <s v="OFF-LA-10002312"/>
    <x v="1"/>
    <x v="10"/>
    <s v="Avery 490"/>
    <n v="29.6"/>
    <n v="14.8"/>
    <n v="0.5"/>
    <n v="2"/>
    <x v="0"/>
    <x v="1"/>
    <x v="6"/>
    <x v="6"/>
  </r>
  <r>
    <n v="1376"/>
    <s v="CA-2014-126361"/>
    <x v="111"/>
    <d v="2014-09-08T00:00:00"/>
    <n v="153"/>
    <s v="VD-21670"/>
    <s v="Valerie Dominguez"/>
    <x v="0"/>
    <s v="Second Class"/>
    <s v="United States"/>
    <s v="Utah"/>
    <s v="Pleasant Grove"/>
    <x v="1"/>
    <s v="84062"/>
    <s v="OFF-AP-10003590"/>
    <x v="1"/>
    <x v="8"/>
    <s v="Hoover WindTunnel Plus Canister Vacuum"/>
    <n v="1089.75"/>
    <n v="305.13"/>
    <n v="0.27999999999999997"/>
    <n v="3"/>
    <x v="0"/>
    <x v="1"/>
    <x v="2"/>
    <x v="2"/>
  </r>
  <r>
    <n v="1383"/>
    <s v="US-2016-108504"/>
    <x v="112"/>
    <d v="2016-05-02T00:00:00"/>
    <n v="0"/>
    <s v="PP-18955"/>
    <s v="Paul Prost"/>
    <x v="2"/>
    <s v="Same Day"/>
    <s v="United States"/>
    <s v="Georgia"/>
    <s v="Smyrna"/>
    <x v="0"/>
    <s v="30080"/>
    <s v="OFF-ST-10002344"/>
    <x v="1"/>
    <x v="6"/>
    <s v="Carina 42&quot;Hx23 3/4&quot;W Media Storage Unit"/>
    <n v="80.98"/>
    <n v="1.6195999999999999"/>
    <n v="1.9999999999999997E-2"/>
    <n v="1"/>
    <x v="0"/>
    <x v="0"/>
    <x v="1"/>
    <x v="1"/>
  </r>
  <r>
    <n v="1394"/>
    <s v="CA-2017-124828"/>
    <x v="99"/>
    <d v="2017-04-07T00:00:00"/>
    <n v="31"/>
    <s v="YS-21880"/>
    <s v="Yana Sorensen"/>
    <x v="1"/>
    <s v="First Class"/>
    <s v="United States"/>
    <s v="North Carolina"/>
    <s v="Burlington"/>
    <x v="0"/>
    <s v="27217"/>
    <s v="OFF-AR-10003514"/>
    <x v="1"/>
    <x v="3"/>
    <s v="4009 Highlighters by Sanford"/>
    <n v="9.5519999999999996"/>
    <n v="1.5522"/>
    <n v="0.16250000000000001"/>
    <n v="3"/>
    <x v="1"/>
    <x v="2"/>
    <x v="4"/>
    <x v="4"/>
  </r>
  <r>
    <n v="1401"/>
    <s v="CA-2016-159212"/>
    <x v="113"/>
    <d v="2016-05-11T00:00:00"/>
    <n v="121"/>
    <s v="KM-16375"/>
    <s v="Katherine Murray"/>
    <x v="2"/>
    <s v="Standard Class"/>
    <s v="United States"/>
    <s v="Virginia"/>
    <s v="Salem"/>
    <x v="0"/>
    <s v="24153"/>
    <s v="TEC-PH-10003988"/>
    <x v="2"/>
    <x v="2"/>
    <s v="LF Elite 3D Dazzle Designer Hard Case Cover, Lf Stylus Pen and Wiper For Apple Iphone 5c Mini Lite"/>
    <n v="21.8"/>
    <n v="6.1040000000000001"/>
    <n v="0.27999999999999997"/>
    <n v="2"/>
    <x v="0"/>
    <x v="0"/>
    <x v="6"/>
    <x v="6"/>
  </r>
  <r>
    <n v="1408"/>
    <s v="CA-2016-130407"/>
    <x v="114"/>
    <d v="2016-06-09T00:00:00"/>
    <n v="121"/>
    <s v="KD-16270"/>
    <s v="Karen Daniels"/>
    <x v="0"/>
    <s v="Standard Class"/>
    <s v="United States"/>
    <s v="New York"/>
    <s v="New York City"/>
    <x v="3"/>
    <s v="10024"/>
    <s v="OFF-AR-10002240"/>
    <x v="1"/>
    <x v="3"/>
    <s v="Panasonic KP-150 Electric Pencil Sharpener"/>
    <n v="75.48"/>
    <n v="19.6248"/>
    <n v="0.26"/>
    <n v="2"/>
    <x v="0"/>
    <x v="0"/>
    <x v="7"/>
    <x v="7"/>
  </r>
  <r>
    <n v="1443"/>
    <s v="CA-2017-117695"/>
    <x v="115"/>
    <d v="2017-08-08T00:00:00"/>
    <n v="92"/>
    <s v="PW-19030"/>
    <s v="Pauline Webber"/>
    <x v="1"/>
    <s v="First Class"/>
    <s v="United States"/>
    <s v="Kentucky"/>
    <s v="Richmond"/>
    <x v="0"/>
    <s v="40475"/>
    <s v="OFF-PA-10002713"/>
    <x v="1"/>
    <x v="4"/>
    <s v="Adams Phone Message Book, 200 Message Capacity, 8 1/16” x 11”"/>
    <n v="13.76"/>
    <n v="6.3296000000000001"/>
    <n v="0.46"/>
    <n v="2"/>
    <x v="0"/>
    <x v="2"/>
    <x v="1"/>
    <x v="1"/>
  </r>
  <r>
    <n v="1450"/>
    <s v="CA-2015-145821"/>
    <x v="116"/>
    <d v="2015-07-05T00:00:00"/>
    <n v="181"/>
    <s v="JB-15400"/>
    <s v="Jennifer Braxton"/>
    <x v="1"/>
    <s v="Standard Class"/>
    <s v="United States"/>
    <s v="California"/>
    <s v="Los Angeles"/>
    <x v="1"/>
    <s v="90008"/>
    <s v="TEC-PH-10004348"/>
    <x v="2"/>
    <x v="2"/>
    <s v="OtterBox Defender Series Case - iPhone 5c"/>
    <n v="88.751999999999995"/>
    <n v="11.093999999999999"/>
    <n v="0.125"/>
    <n v="3"/>
    <x v="1"/>
    <x v="3"/>
    <x v="6"/>
    <x v="6"/>
  </r>
  <r>
    <n v="1460"/>
    <s v="CA-2014-155271"/>
    <x v="117"/>
    <d v="2014-04-05T00:00:00"/>
    <n v="0"/>
    <s v="AA-10480"/>
    <s v="Andrew Allen"/>
    <x v="0"/>
    <s v="Same Day"/>
    <s v="United States"/>
    <s v="Connecticut"/>
    <s v="Middletown"/>
    <x v="3"/>
    <s v="6457"/>
    <s v="FUR-FU-10001473"/>
    <x v="0"/>
    <x v="7"/>
    <s v="DAX Wood Document Frame"/>
    <n v="27.46"/>
    <n v="9.8856000000000002"/>
    <n v="0.36"/>
    <n v="2"/>
    <x v="0"/>
    <x v="1"/>
    <x v="2"/>
    <x v="2"/>
  </r>
  <r>
    <n v="1461"/>
    <s v="CA-2015-119907"/>
    <x v="118"/>
    <d v="2015-08-12T00:00:00"/>
    <n v="212"/>
    <s v="LC-17140"/>
    <s v="Logan Currie"/>
    <x v="0"/>
    <s v="Standard Class"/>
    <s v="United States"/>
    <s v="Washington"/>
    <s v="Seattle"/>
    <x v="1"/>
    <s v="98103"/>
    <s v="OFF-BI-10001765"/>
    <x v="1"/>
    <x v="1"/>
    <s v="Wilson Jones Heavy-Duty Casebound Ring Binders with Metal Hinges"/>
    <n v="55.423999999999999"/>
    <n v="19.398399999999999"/>
    <n v="0.35"/>
    <n v="2"/>
    <x v="1"/>
    <x v="3"/>
    <x v="6"/>
    <x v="6"/>
  </r>
  <r>
    <n v="1474"/>
    <s v="US-2015-105676"/>
    <x v="118"/>
    <d v="2015-02-12T00:00:00"/>
    <n v="31"/>
    <s v="NM-18520"/>
    <s v="Neoma Murray"/>
    <x v="0"/>
    <s v="Same Day"/>
    <s v="United States"/>
    <s v="Texas"/>
    <s v="Houston"/>
    <x v="2"/>
    <s v="77036"/>
    <s v="FUR-FU-10004270"/>
    <x v="0"/>
    <x v="7"/>
    <s v="Eldon Image Series Desk Accessories, Burgundy"/>
    <n v="6.6879999999999997"/>
    <n v="-4.0128000000000004"/>
    <n v="-0.60000000000000009"/>
    <n v="4"/>
    <x v="9"/>
    <x v="3"/>
    <x v="6"/>
    <x v="6"/>
  </r>
  <r>
    <n v="1480"/>
    <s v="US-2016-108455"/>
    <x v="119"/>
    <d v="2016-08-12T00:00:00"/>
    <n v="182"/>
    <s v="MK-18160"/>
    <s v="Mike Kennedy"/>
    <x v="0"/>
    <s v="Standard Class"/>
    <s v="United States"/>
    <s v="California"/>
    <s v="San Francisco"/>
    <x v="1"/>
    <s v="94122"/>
    <s v="OFF-PA-10002262"/>
    <x v="1"/>
    <x v="4"/>
    <s v="Xerox 192"/>
    <n v="25.92"/>
    <n v="12.441599999999999"/>
    <n v="0.47999999999999993"/>
    <n v="4"/>
    <x v="0"/>
    <x v="0"/>
    <x v="7"/>
    <x v="7"/>
  </r>
  <r>
    <n v="1487"/>
    <s v="CA-2015-140410"/>
    <x v="120"/>
    <d v="2015-07-11T00:00:00"/>
    <n v="122"/>
    <s v="CM-12655"/>
    <s v="Corinna Mitchell"/>
    <x v="2"/>
    <s v="Standard Class"/>
    <s v="United States"/>
    <s v="California"/>
    <s v="Los Angeles"/>
    <x v="1"/>
    <s v="90008"/>
    <s v="TEC-PH-10003580"/>
    <x v="2"/>
    <x v="2"/>
    <s v="Cisco IP Phone 7961G-GE VoIP phone"/>
    <n v="1212.848"/>
    <n v="106.1242"/>
    <n v="8.7500000000000008E-2"/>
    <n v="7"/>
    <x v="1"/>
    <x v="3"/>
    <x v="4"/>
    <x v="4"/>
  </r>
  <r>
    <n v="1505"/>
    <s v="CA-2015-153388"/>
    <x v="121"/>
    <d v="2015-07-08T00:00:00"/>
    <n v="181"/>
    <s v="PC-19000"/>
    <s v="Pauline Chand"/>
    <x v="2"/>
    <s v="Standard Class"/>
    <s v="United States"/>
    <s v="California"/>
    <s v="Los Angeles"/>
    <x v="1"/>
    <s v="90004"/>
    <s v="OFF-AR-10001868"/>
    <x v="1"/>
    <x v="3"/>
    <s v="Prang Dustless Chalk Sticks"/>
    <n v="6.72"/>
    <n v="3.36"/>
    <n v="0.5"/>
    <n v="4"/>
    <x v="0"/>
    <x v="3"/>
    <x v="6"/>
    <x v="6"/>
  </r>
  <r>
    <n v="1509"/>
    <s v="CA-2017-108294"/>
    <x v="122"/>
    <d v="2017-10-12T00:00:00"/>
    <n v="0"/>
    <s v="LS-16975"/>
    <s v="Lindsay Shagiari"/>
    <x v="2"/>
    <s v="Same Day"/>
    <s v="United States"/>
    <s v="Nebraska"/>
    <s v="Omaha"/>
    <x v="2"/>
    <s v="68104"/>
    <s v="OFF-BI-10004965"/>
    <x v="1"/>
    <x v="1"/>
    <s v="Ibico Covers for Plastic or Wire Binding Elements"/>
    <n v="34.5"/>
    <n v="15.525"/>
    <n v="0.45"/>
    <n v="3"/>
    <x v="0"/>
    <x v="2"/>
    <x v="10"/>
    <x v="10"/>
  </r>
  <r>
    <n v="1529"/>
    <s v="CA-2015-148432"/>
    <x v="46"/>
    <d v="2015-10-11T00:00:00"/>
    <n v="92"/>
    <s v="MC-18130"/>
    <s v="Mike Caudle"/>
    <x v="1"/>
    <s v="Second Class"/>
    <s v="United States"/>
    <s v="Delaware"/>
    <s v="Newark"/>
    <x v="3"/>
    <s v="19711"/>
    <s v="OFF-FA-10004968"/>
    <x v="1"/>
    <x v="14"/>
    <s v="Rubber Band Ball"/>
    <n v="26.18"/>
    <n v="0.52359999999999995"/>
    <n v="1.9999999999999997E-2"/>
    <n v="7"/>
    <x v="0"/>
    <x v="3"/>
    <x v="9"/>
    <x v="9"/>
  </r>
  <r>
    <n v="1534"/>
    <s v="CA-2016-139885"/>
    <x v="123"/>
    <d v="2016-08-12T00:00:00"/>
    <n v="122"/>
    <s v="EB-13840"/>
    <s v="Ellis Ballard"/>
    <x v="1"/>
    <s v="Standard Class"/>
    <s v="United States"/>
    <s v="New York"/>
    <s v="New York City"/>
    <x v="3"/>
    <s v="10035"/>
    <s v="OFF-ST-10003324"/>
    <x v="1"/>
    <x v="6"/>
    <s v="Belkin OmniView SE Rackmount Kit"/>
    <n v="212.88"/>
    <n v="0"/>
    <n v="0"/>
    <n v="6"/>
    <x v="0"/>
    <x v="0"/>
    <x v="2"/>
    <x v="2"/>
  </r>
  <r>
    <n v="1544"/>
    <s v="CA-2014-107181"/>
    <x v="124"/>
    <d v="2014-08-02T00:00:00"/>
    <n v="122"/>
    <s v="DB-13270"/>
    <s v="Deborah Brumfield"/>
    <x v="2"/>
    <s v="Standard Class"/>
    <s v="United States"/>
    <s v="California"/>
    <s v="San Diego"/>
    <x v="1"/>
    <s v="92024"/>
    <s v="OFF-BI-10004230"/>
    <x v="1"/>
    <x v="1"/>
    <s v="GBC Recycled Grain Textured Covers"/>
    <n v="82.896000000000001"/>
    <n v="29.0136"/>
    <n v="0.35"/>
    <n v="3"/>
    <x v="1"/>
    <x v="1"/>
    <x v="2"/>
    <x v="2"/>
  </r>
  <r>
    <n v="1553"/>
    <s v="CA-2014-130274"/>
    <x v="125"/>
    <d v="2014-05-05T00:00:00"/>
    <n v="61"/>
    <s v="JS-15940"/>
    <s v="Joni Sundaresam"/>
    <x v="2"/>
    <s v="First Class"/>
    <s v="United States"/>
    <s v="Wisconsin"/>
    <s v="Appleton"/>
    <x v="2"/>
    <s v="54915"/>
    <s v="OFF-LA-10002195"/>
    <x v="1"/>
    <x v="10"/>
    <s v="Avery 481"/>
    <n v="21.56"/>
    <n v="10.348800000000001"/>
    <n v="0.48000000000000004"/>
    <n v="7"/>
    <x v="0"/>
    <x v="1"/>
    <x v="4"/>
    <x v="4"/>
  </r>
  <r>
    <n v="1561"/>
    <s v="CA-2014-105172"/>
    <x v="126"/>
    <d v="2014-09-04T00:00:00"/>
    <n v="153"/>
    <s v="PK-18910"/>
    <s v="Paul Knutson"/>
    <x v="2"/>
    <s v="Standard Class"/>
    <s v="United States"/>
    <s v="California"/>
    <s v="San Francisco"/>
    <x v="1"/>
    <s v="94109"/>
    <s v="OFF-LA-10001641"/>
    <x v="1"/>
    <x v="10"/>
    <s v="Avery 518"/>
    <n v="18.899999999999999"/>
    <n v="9.0719999999999992"/>
    <n v="0.48"/>
    <n v="6"/>
    <x v="0"/>
    <x v="1"/>
    <x v="2"/>
    <x v="2"/>
  </r>
  <r>
    <n v="1564"/>
    <s v="CA-2015-158554"/>
    <x v="127"/>
    <d v="2015-09-11T00:00:00"/>
    <n v="0"/>
    <s v="CM-12190"/>
    <s v="Charlotte Melton"/>
    <x v="0"/>
    <s v="Same Day"/>
    <s v="United States"/>
    <s v="Pennsylvania"/>
    <s v="Philadelphia"/>
    <x v="3"/>
    <s v="19134"/>
    <s v="OFF-PA-10004000"/>
    <x v="1"/>
    <x v="4"/>
    <s v="While You Were Out Pads, 50 per Pad, 4 x 5 1/4, Green Cycle"/>
    <n v="11.352"/>
    <n v="4.1151"/>
    <n v="0.36249999999999999"/>
    <n v="3"/>
    <x v="1"/>
    <x v="3"/>
    <x v="3"/>
    <x v="3"/>
  </r>
  <r>
    <n v="1565"/>
    <s v="CA-2014-116239"/>
    <x v="128"/>
    <d v="2014-04-03T00:00:00"/>
    <n v="0"/>
    <s v="CL-12565"/>
    <s v="Clay Ludtke"/>
    <x v="0"/>
    <s v="Same Day"/>
    <s v="United States"/>
    <s v="South Carolina"/>
    <s v="Columbia"/>
    <x v="0"/>
    <s v="29203"/>
    <s v="OFF-ST-10001370"/>
    <x v="1"/>
    <x v="6"/>
    <s v="Sensible Storage WireTech Storage Systems"/>
    <n v="354.9"/>
    <n v="17.745000000000001"/>
    <n v="0.05"/>
    <n v="5"/>
    <x v="0"/>
    <x v="1"/>
    <x v="2"/>
    <x v="2"/>
  </r>
  <r>
    <n v="1569"/>
    <s v="US-2017-152002"/>
    <x v="129"/>
    <d v="2017-11-06T00:00:00"/>
    <n v="0"/>
    <s v="DV-13465"/>
    <s v="Dianna Vittorini"/>
    <x v="0"/>
    <s v="Same Day"/>
    <s v="United States"/>
    <s v="California"/>
    <s v="Los Angeles"/>
    <x v="1"/>
    <s v="90004"/>
    <s v="OFF-PA-10000357"/>
    <x v="1"/>
    <x v="4"/>
    <s v="White Dual Perf Computer Printout Paper, 2700 Sheets, 1 Part, Heavyweight, 20 lbs., 14 7/8 x 11"/>
    <n v="122.97"/>
    <n v="60.255299999999998"/>
    <n v="0.49"/>
    <n v="3"/>
    <x v="0"/>
    <x v="2"/>
    <x v="8"/>
    <x v="8"/>
  </r>
  <r>
    <n v="1596"/>
    <s v="CA-2017-149181"/>
    <x v="130"/>
    <d v="2017-12-05T00:00:00"/>
    <n v="122"/>
    <s v="MD-17350"/>
    <s v="Maribeth Dona"/>
    <x v="0"/>
    <s v="Standard Class"/>
    <s v="United States"/>
    <s v="Ohio"/>
    <s v="Columbus"/>
    <x v="3"/>
    <s v="43229"/>
    <s v="FUR-CH-10004540"/>
    <x v="0"/>
    <x v="12"/>
    <s v="Global Chrome Stack Chair"/>
    <n v="47.991999999999997"/>
    <n v="-2.0568"/>
    <n v="-4.2857142857142858E-2"/>
    <n v="2"/>
    <x v="8"/>
    <x v="2"/>
    <x v="0"/>
    <x v="0"/>
  </r>
  <r>
    <n v="1631"/>
    <s v="CA-2016-106530"/>
    <x v="131"/>
    <d v="2016-08-05T00:00:00"/>
    <n v="0"/>
    <s v="CL-12565"/>
    <s v="Clay Ludtke"/>
    <x v="0"/>
    <s v="Same Day"/>
    <s v="United States"/>
    <s v="Ohio"/>
    <s v="Cleveland"/>
    <x v="3"/>
    <s v="44105"/>
    <s v="OFF-ST-10002011"/>
    <x v="1"/>
    <x v="6"/>
    <s v="Smead Adjustable Mobile File Trolley with Lockable Top"/>
    <n v="1006.056"/>
    <n v="88.029899999999998"/>
    <n v="8.7499999999999994E-2"/>
    <n v="3"/>
    <x v="1"/>
    <x v="0"/>
    <x v="0"/>
    <x v="0"/>
  </r>
  <r>
    <n v="1673"/>
    <s v="CA-2017-111647"/>
    <x v="99"/>
    <d v="2017-07-07T00:00:00"/>
    <n v="122"/>
    <s v="RD-19585"/>
    <s v="Rob Dowd"/>
    <x v="0"/>
    <s v="Standard Class"/>
    <s v="United States"/>
    <s v="Texas"/>
    <s v="Plano"/>
    <x v="2"/>
    <s v="75023"/>
    <s v="TEC-PH-10002726"/>
    <x v="2"/>
    <x v="2"/>
    <s v="netTALK DUO VoIP Telephone Service"/>
    <n v="167.96799999999999"/>
    <n v="62.988"/>
    <n v="0.375"/>
    <n v="4"/>
    <x v="1"/>
    <x v="2"/>
    <x v="4"/>
    <x v="4"/>
  </r>
  <r>
    <n v="1674"/>
    <s v="CA-2015-150560"/>
    <x v="132"/>
    <d v="2015-12-12T00:00:00"/>
    <n v="30"/>
    <s v="SW-20455"/>
    <s v="Shaun Weien"/>
    <x v="0"/>
    <s v="First Class"/>
    <s v="United States"/>
    <s v="Virginia"/>
    <s v="Suffolk"/>
    <x v="0"/>
    <s v="23434"/>
    <s v="OFF-LA-10003930"/>
    <x v="1"/>
    <x v="10"/>
    <s v="Dot Matrix Printer Tape Reel Labels, White, 5000/Box"/>
    <n v="196.62"/>
    <n v="96.343800000000002"/>
    <n v="0.49"/>
    <n v="2"/>
    <x v="0"/>
    <x v="3"/>
    <x v="8"/>
    <x v="8"/>
  </r>
  <r>
    <n v="1684"/>
    <s v="CA-2016-147585"/>
    <x v="19"/>
    <d v="2016-12-11T00:00:00"/>
    <n v="153"/>
    <s v="CB-12535"/>
    <s v="Claudia Bergmann"/>
    <x v="1"/>
    <s v="Standard Class"/>
    <s v="United States"/>
    <s v="California"/>
    <s v="San Francisco"/>
    <x v="1"/>
    <s v="94110"/>
    <s v="FUR-FU-10002597"/>
    <x v="0"/>
    <x v="7"/>
    <s v="C-Line Magnetic Cubicle Keepers, Clear Polypropylene"/>
    <n v="14.82"/>
    <n v="6.2244000000000002"/>
    <n v="0.42"/>
    <n v="3"/>
    <x v="0"/>
    <x v="0"/>
    <x v="9"/>
    <x v="9"/>
  </r>
  <r>
    <n v="1688"/>
    <s v="CA-2017-143798"/>
    <x v="122"/>
    <d v="2017-12-12T00:00:00"/>
    <n v="61"/>
    <s v="AW-10840"/>
    <s v="Anthony Witt"/>
    <x v="0"/>
    <s v="First Class"/>
    <s v="United States"/>
    <s v="Pennsylvania"/>
    <s v="Philadelphia"/>
    <x v="3"/>
    <s v="19140"/>
    <s v="OFF-PA-10000788"/>
    <x v="1"/>
    <x v="4"/>
    <s v="Xerox 210"/>
    <n v="10.368"/>
    <n v="3.6288"/>
    <n v="0.35"/>
    <n v="2"/>
    <x v="1"/>
    <x v="2"/>
    <x v="10"/>
    <x v="10"/>
  </r>
  <r>
    <n v="1704"/>
    <s v="CA-2014-139857"/>
    <x v="133"/>
    <d v="2014-06-02T00:00:00"/>
    <n v="120"/>
    <s v="CD-12790"/>
    <s v="Cynthia Delaney"/>
    <x v="2"/>
    <s v="Standard Class"/>
    <s v="United States"/>
    <s v="California"/>
    <s v="San Diego"/>
    <x v="1"/>
    <s v="92037"/>
    <s v="OFF-FA-10001843"/>
    <x v="1"/>
    <x v="14"/>
    <s v="Staples"/>
    <n v="12.35"/>
    <n v="5.8045"/>
    <n v="0.47000000000000003"/>
    <n v="5"/>
    <x v="0"/>
    <x v="1"/>
    <x v="7"/>
    <x v="7"/>
  </r>
  <r>
    <n v="1705"/>
    <s v="CA-2016-106306"/>
    <x v="134"/>
    <d v="2016-08-03T00:00:00"/>
    <n v="0"/>
    <s v="PG-18820"/>
    <s v="Patrick Gardner"/>
    <x v="0"/>
    <s v="Same Day"/>
    <s v="United States"/>
    <s v="Arizona"/>
    <s v="Glendale"/>
    <x v="1"/>
    <s v="85301"/>
    <s v="OFF-BI-10003676"/>
    <x v="1"/>
    <x v="1"/>
    <s v="GBC Standard Recycled Report Covers, Clear Plastic Sheets"/>
    <n v="9.702"/>
    <n v="-7.1147999999999998"/>
    <n v="-0.73333333333333328"/>
    <n v="3"/>
    <x v="3"/>
    <x v="0"/>
    <x v="0"/>
    <x v="0"/>
  </r>
  <r>
    <n v="1729"/>
    <s v="CA-2016-106894"/>
    <x v="135"/>
    <d v="2016-07-02T00:00:00"/>
    <n v="0"/>
    <s v="CA-12265"/>
    <s v="Christina Anderson"/>
    <x v="0"/>
    <s v="Same Day"/>
    <s v="United States"/>
    <s v="Virginia"/>
    <s v="Springfield"/>
    <x v="0"/>
    <s v="22153"/>
    <s v="TEC-AC-10003063"/>
    <x v="2"/>
    <x v="11"/>
    <s v="Micro Innovations USB RF Wireless Keyboard with Mouse"/>
    <n v="100"/>
    <n v="21"/>
    <n v="0.21"/>
    <n v="4"/>
    <x v="0"/>
    <x v="0"/>
    <x v="9"/>
    <x v="9"/>
  </r>
  <r>
    <n v="1746"/>
    <s v="CA-2014-133270"/>
    <x v="136"/>
    <d v="2014-09-06T00:00:00"/>
    <n v="92"/>
    <s v="BM-11785"/>
    <s v="Bryan Mills"/>
    <x v="0"/>
    <s v="First Class"/>
    <s v="United States"/>
    <s v="New York"/>
    <s v="Rochester"/>
    <x v="3"/>
    <s v="14609"/>
    <s v="OFF-AR-10002656"/>
    <x v="1"/>
    <x v="3"/>
    <s v="Sanford Liquid Accent Highlighters"/>
    <n v="13.36"/>
    <n v="4.9432"/>
    <n v="0.37"/>
    <n v="2"/>
    <x v="0"/>
    <x v="1"/>
    <x v="5"/>
    <x v="5"/>
  </r>
  <r>
    <n v="1756"/>
    <s v="CA-2015-135622"/>
    <x v="137"/>
    <d v="2015-11-12T00:00:00"/>
    <n v="92"/>
    <s v="TT-21460"/>
    <s v="Tonja Turnell"/>
    <x v="2"/>
    <s v="Second Class"/>
    <s v="United States"/>
    <s v="Texas"/>
    <s v="Fort Worth"/>
    <x v="2"/>
    <s v="76106"/>
    <s v="OFF-PA-10000100"/>
    <x v="1"/>
    <x v="4"/>
    <s v="Xerox 1945"/>
    <n v="360.71199999999999"/>
    <n v="130.75810000000001"/>
    <n v="0.36250000000000004"/>
    <n v="11"/>
    <x v="1"/>
    <x v="3"/>
    <x v="0"/>
    <x v="0"/>
  </r>
  <r>
    <n v="1761"/>
    <s v="CA-2015-130785"/>
    <x v="138"/>
    <d v="2015-09-09T00:00:00"/>
    <n v="123"/>
    <s v="AG-10900"/>
    <s v="Arthur Gainer"/>
    <x v="0"/>
    <s v="Standard Class"/>
    <s v="United States"/>
    <s v="California"/>
    <s v="San Diego"/>
    <x v="1"/>
    <s v="92105"/>
    <s v="FUR-BO-10000330"/>
    <x v="0"/>
    <x v="0"/>
    <s v="Sauder Camden County Barrister Bookcase, Planked Cherry Finish"/>
    <n v="411.33199999999999"/>
    <n v="-4.8391999999999999"/>
    <n v="-1.1764705882352941E-2"/>
    <n v="4"/>
    <x v="10"/>
    <x v="3"/>
    <x v="1"/>
    <x v="1"/>
  </r>
  <r>
    <n v="1792"/>
    <s v="CA-2014-120474"/>
    <x v="139"/>
    <d v="2014-03-12T00:00:00"/>
    <n v="59"/>
    <s v="RP-19390"/>
    <s v="Resi Pölking"/>
    <x v="0"/>
    <s v="First Class"/>
    <s v="United States"/>
    <s v="Wisconsin"/>
    <s v="Madison"/>
    <x v="2"/>
    <s v="53711"/>
    <s v="FUR-CH-10001854"/>
    <x v="0"/>
    <x v="12"/>
    <s v="Office Star - Professional Matrix Back Chair with 2-to-1 Synchro Tilt and Mesh Fabric Seat"/>
    <n v="2807.84"/>
    <n v="673.88160000000005"/>
    <n v="0.24"/>
    <n v="8"/>
    <x v="0"/>
    <x v="1"/>
    <x v="6"/>
    <x v="6"/>
  </r>
  <r>
    <n v="1816"/>
    <s v="CA-2015-164833"/>
    <x v="140"/>
    <d v="2015-04-06T00:00:00"/>
    <n v="0"/>
    <s v="LL-16840"/>
    <s v="Lauren Leatherbury"/>
    <x v="0"/>
    <s v="Same Day"/>
    <s v="United States"/>
    <s v="Washington"/>
    <s v="Seattle"/>
    <x v="1"/>
    <s v="98105"/>
    <s v="OFF-LA-10000443"/>
    <x v="1"/>
    <x v="10"/>
    <s v="Avery 501"/>
    <n v="7.38"/>
    <n v="3.4685999999999999"/>
    <n v="0.47"/>
    <n v="2"/>
    <x v="0"/>
    <x v="3"/>
    <x v="2"/>
    <x v="2"/>
  </r>
  <r>
    <n v="1828"/>
    <s v="CA-2016-109344"/>
    <x v="141"/>
    <d v="2016-11-02T00:00:00"/>
    <n v="92"/>
    <s v="CH-12070"/>
    <s v="Cathy Hwang"/>
    <x v="2"/>
    <s v="Second Class"/>
    <s v="United States"/>
    <s v="North Carolina"/>
    <s v="Raleigh"/>
    <x v="0"/>
    <s v="27604"/>
    <s v="TEC-PH-10002624"/>
    <x v="2"/>
    <x v="2"/>
    <s v="Samsung Galaxy S4 Mini"/>
    <n v="1127.9760000000001"/>
    <n v="126.8973"/>
    <n v="0.11249999999999999"/>
    <n v="3"/>
    <x v="1"/>
    <x v="0"/>
    <x v="0"/>
    <x v="0"/>
  </r>
  <r>
    <n v="1834"/>
    <s v="CA-2017-162691"/>
    <x v="94"/>
    <d v="2017-07-08T00:00:00"/>
    <n v="181"/>
    <s v="AS-10045"/>
    <s v="Aaron Smayling"/>
    <x v="1"/>
    <s v="Standard Class"/>
    <s v="United States"/>
    <s v="Texas"/>
    <s v="Austin"/>
    <x v="2"/>
    <s v="78745"/>
    <s v="TEC-MA-10000488"/>
    <x v="2"/>
    <x v="13"/>
    <s v="Bady BDG101FRU Card Printer"/>
    <n v="1439.982"/>
    <n v="-263.99669999999998"/>
    <n v="-0.18333333333333332"/>
    <n v="3"/>
    <x v="4"/>
    <x v="2"/>
    <x v="6"/>
    <x v="6"/>
  </r>
  <r>
    <n v="1843"/>
    <s v="CA-2015-135391"/>
    <x v="142"/>
    <d v="2015-11-02T00:00:00"/>
    <n v="61"/>
    <s v="FA-14230"/>
    <s v="Frank Atkinson"/>
    <x v="1"/>
    <s v="Second Class"/>
    <s v="United States"/>
    <s v="Texas"/>
    <s v="San Antonio"/>
    <x v="2"/>
    <s v="78207"/>
    <s v="OFF-LA-10001074"/>
    <x v="1"/>
    <x v="10"/>
    <s v="Round Specialty Laser Printer Labels"/>
    <n v="40.095999999999997"/>
    <n v="13.532400000000001"/>
    <n v="0.33750000000000008"/>
    <n v="4"/>
    <x v="1"/>
    <x v="3"/>
    <x v="3"/>
    <x v="3"/>
  </r>
  <r>
    <n v="1866"/>
    <s v="US-2017-116659"/>
    <x v="143"/>
    <d v="2017-12-11T00:00:00"/>
    <n v="0"/>
    <s v="NG-18355"/>
    <s v="Nat Gilpin"/>
    <x v="1"/>
    <s v="Same Day"/>
    <s v="United States"/>
    <s v="Ohio"/>
    <s v="Newark"/>
    <x v="3"/>
    <s v="43055"/>
    <s v="TEC-PH-10002824"/>
    <x v="2"/>
    <x v="2"/>
    <s v="Jabra SPEAK 410 Multidevice Speakerphone"/>
    <n v="370.78199999999998"/>
    <n v="-92.695499999999996"/>
    <n v="-0.25"/>
    <n v="3"/>
    <x v="4"/>
    <x v="2"/>
    <x v="11"/>
    <x v="11"/>
  </r>
  <r>
    <n v="1881"/>
    <s v="CA-2015-109512"/>
    <x v="144"/>
    <d v="2015-05-03T00:00:00"/>
    <n v="0"/>
    <s v="LF-17185"/>
    <s v="Luke Foster"/>
    <x v="0"/>
    <s v="Same Day"/>
    <s v="United States"/>
    <s v="New York"/>
    <s v="New York City"/>
    <x v="3"/>
    <s v="10011"/>
    <s v="OFF-EN-10002621"/>
    <x v="1"/>
    <x v="5"/>
    <s v="Staple envelope"/>
    <n v="29.34"/>
    <n v="14.67"/>
    <n v="0.5"/>
    <n v="3"/>
    <x v="0"/>
    <x v="3"/>
    <x v="1"/>
    <x v="1"/>
  </r>
  <r>
    <n v="1895"/>
    <s v="US-2017-108063"/>
    <x v="145"/>
    <d v="2017-05-12T00:00:00"/>
    <n v="89"/>
    <s v="AS-10090"/>
    <s v="Adam Shillingsburg"/>
    <x v="0"/>
    <s v="First Class"/>
    <s v="United States"/>
    <s v="Virginia"/>
    <s v="Charlottesville"/>
    <x v="0"/>
    <s v="22901"/>
    <s v="OFF-AR-10001446"/>
    <x v="1"/>
    <x v="3"/>
    <s v="Newell 309"/>
    <n v="34.65"/>
    <n v="10.395"/>
    <n v="0.3"/>
    <n v="3"/>
    <x v="0"/>
    <x v="2"/>
    <x v="7"/>
    <x v="7"/>
  </r>
  <r>
    <n v="1897"/>
    <s v="CA-2017-141789"/>
    <x v="146"/>
    <d v="2017-06-10T00:00:00"/>
    <n v="92"/>
    <s v="AC-10450"/>
    <s v="Amy Cox"/>
    <x v="0"/>
    <s v="First Class"/>
    <s v="United States"/>
    <s v="Minnesota"/>
    <s v="Minneapolis"/>
    <x v="2"/>
    <s v="55407"/>
    <s v="OFF-BI-10001359"/>
    <x v="1"/>
    <x v="1"/>
    <s v="GBC DocuBind TL300 Electric Binding System"/>
    <n v="1793.98"/>
    <n v="843.17060000000004"/>
    <n v="0.47000000000000003"/>
    <n v="2"/>
    <x v="0"/>
    <x v="2"/>
    <x v="4"/>
    <x v="4"/>
  </r>
  <r>
    <n v="1909"/>
    <s v="CA-2015-157959"/>
    <x v="147"/>
    <d v="2015-04-02T00:00:00"/>
    <n v="31"/>
    <s v="RW-19540"/>
    <s v="Rick Wilson"/>
    <x v="1"/>
    <s v="First Class"/>
    <s v="United States"/>
    <s v="California"/>
    <s v="Los Angeles"/>
    <x v="1"/>
    <s v="90008"/>
    <s v="FUR-FU-10004093"/>
    <x v="0"/>
    <x v="7"/>
    <s v="Hand-Finished Solid Wood Document Frame"/>
    <n v="136.91999999999999"/>
    <n v="41.076000000000001"/>
    <n v="0.30000000000000004"/>
    <n v="4"/>
    <x v="0"/>
    <x v="3"/>
    <x v="4"/>
    <x v="4"/>
  </r>
  <r>
    <n v="1912"/>
    <s v="CA-2017-121503"/>
    <x v="99"/>
    <d v="2017-06-07T00:00:00"/>
    <n v="92"/>
    <s v="FH-14275"/>
    <s v="Frank Hawley"/>
    <x v="1"/>
    <s v="Second Class"/>
    <s v="United States"/>
    <s v="Texas"/>
    <s v="Houston"/>
    <x v="2"/>
    <s v="77041"/>
    <s v="OFF-PA-10001878"/>
    <x v="1"/>
    <x v="4"/>
    <s v="Xerox 1891"/>
    <n v="273.89600000000002"/>
    <n v="92.439899999999994"/>
    <n v="0.33749999999999997"/>
    <n v="7"/>
    <x v="1"/>
    <x v="2"/>
    <x v="4"/>
    <x v="4"/>
  </r>
  <r>
    <n v="1922"/>
    <s v="CA-2015-125178"/>
    <x v="67"/>
    <d v="2015-09-10T00:00:00"/>
    <n v="184"/>
    <s v="MZ-17515"/>
    <s v="Mary Zewe"/>
    <x v="1"/>
    <s v="Standard Class"/>
    <s v="United States"/>
    <s v="Pennsylvania"/>
    <s v="Reading"/>
    <x v="3"/>
    <s v="19601"/>
    <s v="OFF-ST-10002562"/>
    <x v="1"/>
    <x v="6"/>
    <s v="Staple magnet"/>
    <n v="15.007999999999999"/>
    <n v="1.5007999999999999"/>
    <n v="0.1"/>
    <n v="2"/>
    <x v="1"/>
    <x v="3"/>
    <x v="4"/>
    <x v="4"/>
  </r>
  <r>
    <n v="1923"/>
    <s v="CA-2016-156685"/>
    <x v="148"/>
    <d v="2016-10-07T00:00:00"/>
    <n v="61"/>
    <s v="SC-20230"/>
    <s v="Scot Coram"/>
    <x v="1"/>
    <s v="Second Class"/>
    <s v="United States"/>
    <s v="Texas"/>
    <s v="Arlington"/>
    <x v="2"/>
    <s v="76017"/>
    <s v="TEC-PH-10004345"/>
    <x v="2"/>
    <x v="2"/>
    <s v="Cisco SPA 502G IP Phone"/>
    <n v="863.64"/>
    <n v="107.955"/>
    <n v="0.125"/>
    <n v="9"/>
    <x v="1"/>
    <x v="0"/>
    <x v="0"/>
    <x v="0"/>
  </r>
  <r>
    <n v="1933"/>
    <s v="CA-2017-161200"/>
    <x v="149"/>
    <d v="2017-10-08T00:00:00"/>
    <n v="122"/>
    <s v="SV-20365"/>
    <s v="Seth Vernon"/>
    <x v="0"/>
    <s v="Second Class"/>
    <s v="United States"/>
    <s v="Louisiana"/>
    <s v="Lafayette"/>
    <x v="0"/>
    <s v="70506"/>
    <s v="FUR-BO-10000468"/>
    <x v="0"/>
    <x v="0"/>
    <s v="O'Sullivan 2-Shelf Heavy-Duty Bookcases"/>
    <n v="145.74"/>
    <n v="23.3184"/>
    <n v="0.16"/>
    <n v="3"/>
    <x v="0"/>
    <x v="2"/>
    <x v="5"/>
    <x v="5"/>
  </r>
  <r>
    <n v="1938"/>
    <s v="CA-2016-112109"/>
    <x v="148"/>
    <d v="2016-12-07T00:00:00"/>
    <n v="122"/>
    <s v="JE-15715"/>
    <s v="Joe Elijah"/>
    <x v="0"/>
    <s v="Standard Class"/>
    <s v="United States"/>
    <s v="Colorado"/>
    <s v="Broomfield"/>
    <x v="1"/>
    <s v="80020"/>
    <s v="OFF-BI-10002082"/>
    <x v="1"/>
    <x v="1"/>
    <s v="GBC Twin Loop Wire Binding Elements"/>
    <n v="19.968"/>
    <n v="-13.311999999999999"/>
    <n v="-0.66666666666666663"/>
    <n v="2"/>
    <x v="3"/>
    <x v="0"/>
    <x v="0"/>
    <x v="0"/>
  </r>
  <r>
    <n v="1971"/>
    <s v="CA-2017-140242"/>
    <x v="150"/>
    <d v="2017-11-05T00:00:00"/>
    <n v="153"/>
    <s v="ML-17755"/>
    <s v="Max Ludwig"/>
    <x v="2"/>
    <s v="Standard Class"/>
    <s v="United States"/>
    <s v="Illinois"/>
    <s v="Chicago"/>
    <x v="2"/>
    <s v="60623"/>
    <s v="OFF-AR-10004752"/>
    <x v="1"/>
    <x v="3"/>
    <s v="Blackstonian Pencils"/>
    <n v="6.4080000000000004"/>
    <n v="0.64080000000000004"/>
    <n v="0.1"/>
    <n v="3"/>
    <x v="1"/>
    <x v="2"/>
    <x v="5"/>
    <x v="5"/>
  </r>
  <r>
    <n v="1979"/>
    <s v="CA-2015-109939"/>
    <x v="151"/>
    <d v="2015-12-05T00:00:00"/>
    <n v="122"/>
    <s v="AA-10375"/>
    <s v="Allen Armold"/>
    <x v="0"/>
    <s v="Standard Class"/>
    <s v="United States"/>
    <s v="Oregon"/>
    <s v="Salem"/>
    <x v="1"/>
    <s v="97301"/>
    <s v="OFF-AR-10000127"/>
    <x v="1"/>
    <x v="3"/>
    <s v="Newell 321"/>
    <n v="5.2480000000000002"/>
    <n v="0.59040000000000004"/>
    <n v="0.1125"/>
    <n v="2"/>
    <x v="1"/>
    <x v="3"/>
    <x v="0"/>
    <x v="0"/>
  </r>
  <r>
    <n v="1983"/>
    <s v="CA-2014-122749"/>
    <x v="152"/>
    <d v="2014-09-12T00:00:00"/>
    <n v="184"/>
    <s v="NG-18430"/>
    <s v="Nathan Gelder"/>
    <x v="0"/>
    <s v="Standard Class"/>
    <s v="United States"/>
    <s v="Oklahoma"/>
    <s v="Oklahoma City"/>
    <x v="2"/>
    <s v="73120"/>
    <s v="TEC-PH-10003811"/>
    <x v="2"/>
    <x v="2"/>
    <s v="Jabra Supreme Plus Driver Edition Headset"/>
    <n v="479.96"/>
    <n v="134.3888"/>
    <n v="0.28000000000000003"/>
    <n v="4"/>
    <x v="0"/>
    <x v="1"/>
    <x v="4"/>
    <x v="4"/>
  </r>
  <r>
    <n v="1996"/>
    <s v="US-2017-147221"/>
    <x v="145"/>
    <d v="2017-04-12T00:00:00"/>
    <n v="59"/>
    <s v="JS-16030"/>
    <s v="Joy Smith"/>
    <x v="0"/>
    <s v="Second Class"/>
    <s v="United States"/>
    <s v="Texas"/>
    <s v="Houston"/>
    <x v="2"/>
    <s v="77036"/>
    <s v="OFF-AP-10002534"/>
    <x v="1"/>
    <x v="8"/>
    <s v="3.6 Cubic Foot Counter Height Office Refrigerator"/>
    <n v="294.62"/>
    <n v="-766.01199999999994"/>
    <n v="-2.5999999999999996"/>
    <n v="5"/>
    <x v="2"/>
    <x v="2"/>
    <x v="7"/>
    <x v="7"/>
  </r>
  <r>
    <n v="2008"/>
    <s v="CA-2017-165386"/>
    <x v="153"/>
    <d v="2017-04-08T00:00:00"/>
    <n v="31"/>
    <s v="CM-12190"/>
    <s v="Charlotte Melton"/>
    <x v="0"/>
    <s v="First Class"/>
    <s v="United States"/>
    <s v="Illinois"/>
    <s v="Chicago"/>
    <x v="2"/>
    <s v="60623"/>
    <s v="FUR-BO-10003034"/>
    <x v="0"/>
    <x v="0"/>
    <s v="O'Sullivan Elevations Bookcase, Cherry Finish"/>
    <n v="183.37200000000001"/>
    <n v="-36.674399999999999"/>
    <n v="-0.19999999999999998"/>
    <n v="2"/>
    <x v="8"/>
    <x v="2"/>
    <x v="4"/>
    <x v="4"/>
  </r>
  <r>
    <n v="2012"/>
    <s v="CA-2015-155761"/>
    <x v="132"/>
    <d v="2015-11-12T00:00:00"/>
    <n v="0"/>
    <s v="SC-20800"/>
    <s v="Stuart Calhoun"/>
    <x v="0"/>
    <s v="Same Day"/>
    <s v="United States"/>
    <s v="Texas"/>
    <s v="Houston"/>
    <x v="2"/>
    <s v="77041"/>
    <s v="TEC-AC-10001606"/>
    <x v="2"/>
    <x v="11"/>
    <s v="Logitech Wireless Performance Mouse MX for PC and Mac"/>
    <n v="159.98400000000001"/>
    <n v="35.996400000000001"/>
    <n v="0.22500000000000001"/>
    <n v="2"/>
    <x v="1"/>
    <x v="3"/>
    <x v="8"/>
    <x v="8"/>
  </r>
  <r>
    <n v="2027"/>
    <s v="CA-2016-113516"/>
    <x v="38"/>
    <d v="2016-10-09T00:00:00"/>
    <n v="61"/>
    <s v="VM-21685"/>
    <s v="Valerie Mitchum"/>
    <x v="2"/>
    <s v="Second Class"/>
    <s v="United States"/>
    <s v="California"/>
    <s v="Lancaster"/>
    <x v="1"/>
    <s v="93534"/>
    <s v="OFF-BI-10002225"/>
    <x v="1"/>
    <x v="1"/>
    <s v="Square Ring Data Binders, Rigid 75 Pt. Covers, 11&quot; x 14-7/8&quot;"/>
    <n v="33.024000000000001"/>
    <n v="11.558400000000001"/>
    <n v="0.35000000000000003"/>
    <n v="2"/>
    <x v="1"/>
    <x v="0"/>
    <x v="0"/>
    <x v="0"/>
  </r>
  <r>
    <n v="2043"/>
    <s v="CA-2015-104493"/>
    <x v="154"/>
    <d v="2015-08-10T00:00:00"/>
    <n v="181"/>
    <s v="EB-13705"/>
    <s v="Ed Braxton"/>
    <x v="1"/>
    <s v="Standard Class"/>
    <s v="United States"/>
    <s v="California"/>
    <s v="San Diego"/>
    <x v="1"/>
    <s v="92105"/>
    <s v="OFF-BI-10004817"/>
    <x v="1"/>
    <x v="1"/>
    <s v="GBC Personal VeloBind Strips"/>
    <n v="57.503999999999998"/>
    <n v="20.1264"/>
    <n v="0.35000000000000003"/>
    <n v="6"/>
    <x v="1"/>
    <x v="3"/>
    <x v="7"/>
    <x v="7"/>
  </r>
  <r>
    <n v="2074"/>
    <s v="CA-2017-122504"/>
    <x v="155"/>
    <d v="2017-12-11T00:00:00"/>
    <n v="153"/>
    <s v="DB-13270"/>
    <s v="Deborah Brumfield"/>
    <x v="2"/>
    <s v="Second Class"/>
    <s v="United States"/>
    <s v="California"/>
    <s v="Brentwood"/>
    <x v="1"/>
    <s v="94513"/>
    <s v="TEC-AC-10003289"/>
    <x v="2"/>
    <x v="11"/>
    <s v="Anker Ultra-Slim Mini Bluetooth 3.0 Wireless Keyboard"/>
    <n v="59.97"/>
    <n v="13.793100000000001"/>
    <n v="0.23"/>
    <n v="3"/>
    <x v="0"/>
    <x v="2"/>
    <x v="9"/>
    <x v="9"/>
  </r>
  <r>
    <n v="2122"/>
    <s v="CA-2017-158246"/>
    <x v="9"/>
    <d v="2017-11-11T00:00:00"/>
    <n v="61"/>
    <s v="JB-15400"/>
    <s v="Jennifer Braxton"/>
    <x v="1"/>
    <s v="First Class"/>
    <s v="United States"/>
    <s v="California"/>
    <s v="Sunnyvale"/>
    <x v="1"/>
    <s v="94086"/>
    <s v="FUR-CH-10003061"/>
    <x v="0"/>
    <x v="12"/>
    <s v="Global Leather Task Chair, Black"/>
    <n v="215.976"/>
    <n v="-2.6997"/>
    <n v="-1.2500000000000001E-2"/>
    <n v="3"/>
    <x v="1"/>
    <x v="2"/>
    <x v="3"/>
    <x v="3"/>
  </r>
  <r>
    <n v="2125"/>
    <s v="CA-2017-144862"/>
    <x v="24"/>
    <d v="2017-05-12T00:00:00"/>
    <n v="120"/>
    <s v="EH-14005"/>
    <s v="Erica Hernandez"/>
    <x v="2"/>
    <s v="Standard Class"/>
    <s v="United States"/>
    <s v="Pennsylvania"/>
    <s v="Philadelphia"/>
    <x v="3"/>
    <s v="19143"/>
    <s v="OFF-EN-10003040"/>
    <x v="1"/>
    <x v="5"/>
    <s v="Quality Park Security Envelopes"/>
    <n v="104.68"/>
    <n v="35.329500000000003"/>
    <n v="0.33750000000000002"/>
    <n v="5"/>
    <x v="1"/>
    <x v="2"/>
    <x v="6"/>
    <x v="6"/>
  </r>
  <r>
    <n v="2128"/>
    <s v="CA-2015-134859"/>
    <x v="55"/>
    <d v="2015-09-10T00:00:00"/>
    <n v="153"/>
    <s v="JK-16120"/>
    <s v="Julie Kriz"/>
    <x v="2"/>
    <s v="Standard Class"/>
    <s v="United States"/>
    <s v="Pennsylvania"/>
    <s v="Philadelphia"/>
    <x v="3"/>
    <s v="19134"/>
    <s v="FUR-FU-10003623"/>
    <x v="0"/>
    <x v="7"/>
    <s v="DataProducts Ampli Magnifier Task Lamp, Black,"/>
    <n v="64.944000000000003"/>
    <n v="6.4943999999999997"/>
    <n v="9.9999999999999992E-2"/>
    <n v="3"/>
    <x v="1"/>
    <x v="3"/>
    <x v="2"/>
    <x v="2"/>
  </r>
  <r>
    <n v="2162"/>
    <s v="CA-2016-101938"/>
    <x v="156"/>
    <d v="2016-12-01T00:00:00"/>
    <n v="153"/>
    <s v="DW-13480"/>
    <s v="Dianna Wilson"/>
    <x v="2"/>
    <s v="Standard Class"/>
    <s v="United States"/>
    <s v="California"/>
    <s v="Oakland"/>
    <x v="1"/>
    <s v="94601"/>
    <s v="OFF-AR-10003696"/>
    <x v="1"/>
    <x v="3"/>
    <s v="Panasonic KP-350BK Electric Pencil Sharpener with Auto Stop"/>
    <n v="34.58"/>
    <n v="10.0282"/>
    <n v="0.29000000000000004"/>
    <n v="1"/>
    <x v="0"/>
    <x v="0"/>
    <x v="9"/>
    <x v="9"/>
  </r>
  <r>
    <n v="2173"/>
    <s v="CA-2014-152296"/>
    <x v="157"/>
    <d v="2014-03-08T00:00:00"/>
    <n v="59"/>
    <s v="IL-15100"/>
    <s v="Ivan Liston"/>
    <x v="0"/>
    <s v="First Class"/>
    <s v="United States"/>
    <s v="California"/>
    <s v="San Francisco"/>
    <x v="1"/>
    <s v="94122"/>
    <s v="OFF-BI-10004506"/>
    <x v="1"/>
    <x v="1"/>
    <s v="Wilson Jones data.warehouse D-Ring Binders with DublLock"/>
    <n v="19.751999999999999"/>
    <n v="6.9131999999999998"/>
    <n v="0.35000000000000003"/>
    <n v="3"/>
    <x v="1"/>
    <x v="1"/>
    <x v="6"/>
    <x v="6"/>
  </r>
  <r>
    <n v="2180"/>
    <s v="CA-2016-128818"/>
    <x v="158"/>
    <d v="2016-11-05T00:00:00"/>
    <n v="123"/>
    <s v="CJ-12010"/>
    <s v="Caroline Jumper"/>
    <x v="0"/>
    <s v="Standard Class"/>
    <s v="United States"/>
    <s v="New York"/>
    <s v="New York City"/>
    <x v="3"/>
    <s v="10009"/>
    <s v="OFF-BI-10000309"/>
    <x v="1"/>
    <x v="1"/>
    <s v="GBC Twin Loop Wire Binding Elements, 9/16&quot; Spine, Black"/>
    <n v="85.231999999999999"/>
    <n v="30.896599999999999"/>
    <n v="0.36249999999999999"/>
    <n v="7"/>
    <x v="1"/>
    <x v="0"/>
    <x v="9"/>
    <x v="9"/>
  </r>
  <r>
    <n v="2186"/>
    <s v="CA-2017-124576"/>
    <x v="94"/>
    <d v="2017-04-08T00:00:00"/>
    <n v="90"/>
    <s v="HK-14890"/>
    <s v="Heather Kirkland"/>
    <x v="1"/>
    <s v="Second Class"/>
    <s v="United States"/>
    <s v="California"/>
    <s v="Salinas"/>
    <x v="1"/>
    <s v="93905"/>
    <s v="OFF-BI-10002735"/>
    <x v="1"/>
    <x v="1"/>
    <s v="GBC Prestige Therm-A-Bind Covers"/>
    <n v="54.896000000000001"/>
    <n v="18.5274"/>
    <n v="0.33750000000000002"/>
    <n v="2"/>
    <x v="1"/>
    <x v="2"/>
    <x v="6"/>
    <x v="6"/>
  </r>
  <r>
    <n v="2203"/>
    <s v="CA-2015-138002"/>
    <x v="159"/>
    <d v="2015-12-09T00:00:00"/>
    <n v="183"/>
    <s v="BT-11305"/>
    <s v="Beth Thompson"/>
    <x v="2"/>
    <s v="Standard Class"/>
    <s v="United States"/>
    <s v="Washington"/>
    <s v="Seattle"/>
    <x v="1"/>
    <s v="98103"/>
    <s v="OFF-BI-10002160"/>
    <x v="1"/>
    <x v="1"/>
    <s v="Acco Hanging Data Binders"/>
    <n v="6.0960000000000001"/>
    <n v="2.1335999999999999"/>
    <n v="0.35"/>
    <n v="2"/>
    <x v="1"/>
    <x v="3"/>
    <x v="5"/>
    <x v="5"/>
  </r>
  <r>
    <n v="2206"/>
    <s v="CA-2016-164350"/>
    <x v="160"/>
    <d v="2016-12-09T00:00:00"/>
    <n v="61"/>
    <s v="CG-12040"/>
    <s v="Catherine Glotzbach"/>
    <x v="2"/>
    <s v="Second Class"/>
    <s v="United States"/>
    <s v="Tennessee"/>
    <s v="Bristol"/>
    <x v="0"/>
    <s v="37620"/>
    <s v="OFF-AR-10000538"/>
    <x v="1"/>
    <x v="3"/>
    <s v="Boston Model 1800 Electric Pencil Sharpener, Gray"/>
    <n v="67.56"/>
    <n v="8.4450000000000003"/>
    <n v="0.125"/>
    <n v="3"/>
    <x v="1"/>
    <x v="0"/>
    <x v="10"/>
    <x v="10"/>
  </r>
  <r>
    <n v="2222"/>
    <s v="CA-2015-131884"/>
    <x v="98"/>
    <d v="2015-06-12T00:00:00"/>
    <n v="0"/>
    <s v="DK-13375"/>
    <s v="Dennis Kane"/>
    <x v="0"/>
    <s v="Same Day"/>
    <s v="United States"/>
    <s v="Ohio"/>
    <s v="Marion"/>
    <x v="3"/>
    <s v="43302"/>
    <s v="TEC-PH-10001578"/>
    <x v="2"/>
    <x v="2"/>
    <s v="Polycom SoundStation2 EX Conference phone"/>
    <n v="485.94"/>
    <n v="-89.088999999999999"/>
    <n v="-0.18333333333333332"/>
    <n v="2"/>
    <x v="4"/>
    <x v="3"/>
    <x v="5"/>
    <x v="5"/>
  </r>
  <r>
    <n v="2229"/>
    <s v="CA-2016-139157"/>
    <x v="161"/>
    <d v="2016-05-10T00:00:00"/>
    <n v="121"/>
    <s v="GM-14680"/>
    <s v="Greg Matthias"/>
    <x v="0"/>
    <s v="Standard Class"/>
    <s v="United States"/>
    <s v="New York"/>
    <s v="New York City"/>
    <x v="3"/>
    <s v="10024"/>
    <s v="FUR-TA-10003238"/>
    <x v="0"/>
    <x v="9"/>
    <s v="Chromcraft Bull-Nose Wood 48&quot; x 96&quot; Rectangular Conference Tables"/>
    <n v="330.58800000000002"/>
    <n v="-115.7058"/>
    <n v="-0.35"/>
    <n v="1"/>
    <x v="4"/>
    <x v="0"/>
    <x v="6"/>
    <x v="6"/>
  </r>
  <r>
    <n v="2267"/>
    <s v="CA-2017-149146"/>
    <x v="162"/>
    <d v="2017-12-10T00:00:00"/>
    <n v="0"/>
    <s v="SM-20320"/>
    <s v="Sean Miller"/>
    <x v="2"/>
    <s v="Same Day"/>
    <s v="United States"/>
    <s v="North Carolina"/>
    <s v="Monroe"/>
    <x v="0"/>
    <s v="28110"/>
    <s v="OFF-PA-10003919"/>
    <x v="1"/>
    <x v="4"/>
    <s v="Xerox 1989"/>
    <n v="7.968"/>
    <n v="2.6892"/>
    <n v="0.33750000000000002"/>
    <n v="2"/>
    <x v="1"/>
    <x v="2"/>
    <x v="11"/>
    <x v="11"/>
  </r>
  <r>
    <n v="2273"/>
    <s v="CA-2015-142944"/>
    <x v="163"/>
    <d v="2015-11-03T00:00:00"/>
    <n v="153"/>
    <s v="JL-15850"/>
    <s v="John Lucas"/>
    <x v="0"/>
    <s v="Standard Class"/>
    <s v="United States"/>
    <s v="California"/>
    <s v="San Francisco"/>
    <x v="1"/>
    <s v="94122"/>
    <s v="FUR-FU-10000308"/>
    <x v="0"/>
    <x v="7"/>
    <s v="Deflect-o Glass Clear Studded Chair Mats"/>
    <n v="435.26"/>
    <n v="95.757199999999997"/>
    <n v="0.22"/>
    <n v="7"/>
    <x v="0"/>
    <x v="3"/>
    <x v="5"/>
    <x v="5"/>
  </r>
  <r>
    <n v="2275"/>
    <s v="CA-2014-157882"/>
    <x v="106"/>
    <d v="2014-08-10T00:00:00"/>
    <n v="153"/>
    <s v="AR-10405"/>
    <s v="Allen Rosenblatt"/>
    <x v="1"/>
    <s v="Second Class"/>
    <s v="United States"/>
    <s v="California"/>
    <s v="Los Angeles"/>
    <x v="1"/>
    <s v="90036"/>
    <s v="FUR-TA-10001866"/>
    <x v="0"/>
    <x v="9"/>
    <s v="Bevis Round Conference Room Tables and Bases"/>
    <n v="143.43199999999999"/>
    <n v="3.5857999999999999"/>
    <n v="2.5000000000000001E-2"/>
    <n v="1"/>
    <x v="1"/>
    <x v="1"/>
    <x v="4"/>
    <x v="4"/>
  </r>
  <r>
    <n v="2286"/>
    <s v="CA-2016-112676"/>
    <x v="108"/>
    <d v="2016-08-05T00:00:00"/>
    <n v="92"/>
    <s v="PJ-18835"/>
    <s v="Patrick Jones"/>
    <x v="1"/>
    <s v="First Class"/>
    <s v="United States"/>
    <s v="Tennessee"/>
    <s v="Murfreesboro"/>
    <x v="0"/>
    <s v="37130"/>
    <s v="OFF-PA-10003971"/>
    <x v="1"/>
    <x v="4"/>
    <s v="Xerox 1965"/>
    <n v="14.352"/>
    <n v="5.2026000000000003"/>
    <n v="0.36249999999999999"/>
    <n v="3"/>
    <x v="1"/>
    <x v="0"/>
    <x v="1"/>
    <x v="1"/>
  </r>
  <r>
    <n v="2288"/>
    <s v="US-2017-112928"/>
    <x v="164"/>
    <d v="2017-05-06T00:00:00"/>
    <n v="120"/>
    <s v="BB-10990"/>
    <s v="Barry Blumstein"/>
    <x v="1"/>
    <s v="Second Class"/>
    <s v="United States"/>
    <s v="Ohio"/>
    <s v="Toledo"/>
    <x v="3"/>
    <s v="43615"/>
    <s v="OFF-AP-10002287"/>
    <x v="1"/>
    <x v="8"/>
    <s v="Eureka Sanitaire  Multi-Pro Heavy-Duty Upright, Disposable Bags"/>
    <n v="17.48"/>
    <n v="1.3109999999999999"/>
    <n v="7.4999999999999997E-2"/>
    <n v="5"/>
    <x v="1"/>
    <x v="2"/>
    <x v="6"/>
    <x v="6"/>
  </r>
  <r>
    <n v="2290"/>
    <s v="CA-2017-115154"/>
    <x v="165"/>
    <d v="2017-11-01T00:00:00"/>
    <n v="92"/>
    <s v="RS-19420"/>
    <s v="Ricardo Sperren"/>
    <x v="1"/>
    <s v="First Class"/>
    <s v="United States"/>
    <s v="Washington"/>
    <s v="Seattle"/>
    <x v="1"/>
    <s v="98115"/>
    <s v="FUR-TA-10001950"/>
    <x v="0"/>
    <x v="9"/>
    <s v="Balt Solid Wood Round Tables"/>
    <n v="892.98"/>
    <n v="80.368200000000002"/>
    <n v="0.09"/>
    <n v="2"/>
    <x v="0"/>
    <x v="2"/>
    <x v="0"/>
    <x v="0"/>
  </r>
  <r>
    <n v="2309"/>
    <s v="US-2017-120418"/>
    <x v="129"/>
    <d v="2017-12-06T00:00:00"/>
    <n v="30"/>
    <s v="BC-11125"/>
    <s v="Becky Castell"/>
    <x v="2"/>
    <s v="First Class"/>
    <s v="United States"/>
    <s v="Arizona"/>
    <s v="Peoria"/>
    <x v="1"/>
    <s v="85345"/>
    <s v="FUR-CH-10001394"/>
    <x v="0"/>
    <x v="12"/>
    <s v="Global Leather Executive Chair"/>
    <n v="280.79199999999997"/>
    <n v="35.098999999999997"/>
    <n v="0.125"/>
    <n v="1"/>
    <x v="1"/>
    <x v="2"/>
    <x v="8"/>
    <x v="8"/>
  </r>
  <r>
    <n v="2336"/>
    <s v="CA-2017-152695"/>
    <x v="122"/>
    <d v="2017-10-12T00:00:00"/>
    <n v="0"/>
    <s v="CC-12220"/>
    <s v="Chris Cortes"/>
    <x v="0"/>
    <s v="Same Day"/>
    <s v="United States"/>
    <s v="Connecticut"/>
    <s v="Fairfield"/>
    <x v="3"/>
    <s v="6824"/>
    <s v="OFF-EN-10004030"/>
    <x v="1"/>
    <x v="5"/>
    <s v="Convenience Packs of Business Envelopes"/>
    <n v="10.86"/>
    <n v="5.1041999999999996"/>
    <n v="0.47"/>
    <n v="3"/>
    <x v="0"/>
    <x v="2"/>
    <x v="10"/>
    <x v="10"/>
  </r>
  <r>
    <n v="2371"/>
    <s v="CA-2017-155152"/>
    <x v="166"/>
    <d v="2017-09-07T00:00:00"/>
    <n v="62"/>
    <s v="MP-17965"/>
    <s v="Michael Paige"/>
    <x v="1"/>
    <s v="Second Class"/>
    <s v="United States"/>
    <s v="Rhode Island"/>
    <s v="Warwick"/>
    <x v="3"/>
    <s v="2886"/>
    <s v="TEC-AC-10004353"/>
    <x v="2"/>
    <x v="11"/>
    <s v="Hypercom P1300 Pinpad"/>
    <n v="252"/>
    <n v="93.24"/>
    <n v="0.37"/>
    <n v="4"/>
    <x v="0"/>
    <x v="2"/>
    <x v="9"/>
    <x v="9"/>
  </r>
  <r>
    <n v="2390"/>
    <s v="US-2015-127040"/>
    <x v="98"/>
    <d v="2015-10-12T00:00:00"/>
    <n v="122"/>
    <s v="SG-20605"/>
    <s v="Speros Goranitis"/>
    <x v="0"/>
    <s v="Standard Class"/>
    <s v="United States"/>
    <s v="New York"/>
    <s v="New York City"/>
    <x v="3"/>
    <s v="10009"/>
    <s v="OFF-PA-10004255"/>
    <x v="1"/>
    <x v="4"/>
    <s v="Xerox 219"/>
    <n v="6.48"/>
    <n v="3.1103999999999998"/>
    <n v="0.47999999999999993"/>
    <n v="1"/>
    <x v="0"/>
    <x v="3"/>
    <x v="5"/>
    <x v="5"/>
  </r>
  <r>
    <n v="2405"/>
    <s v="CA-2017-108574"/>
    <x v="167"/>
    <d v="2017-11-10T00:00:00"/>
    <n v="123"/>
    <s v="MG-18145"/>
    <s v="Mike Gockenbach"/>
    <x v="0"/>
    <s v="Standard Class"/>
    <s v="United States"/>
    <s v="California"/>
    <s v="Los Angeles"/>
    <x v="1"/>
    <s v="90045"/>
    <s v="TEC-AC-10002049"/>
    <x v="2"/>
    <x v="11"/>
    <s v="Logitech G19 Programmable Gaming Keyboard"/>
    <n v="1115.9100000000001"/>
    <n v="200.8638"/>
    <n v="0.18"/>
    <n v="9"/>
    <x v="0"/>
    <x v="2"/>
    <x v="9"/>
    <x v="9"/>
  </r>
  <r>
    <n v="2411"/>
    <s v="CA-2014-162684"/>
    <x v="157"/>
    <d v="2014-06-08T00:00:00"/>
    <n v="151"/>
    <s v="AS-10630"/>
    <s v="Ann Steele"/>
    <x v="2"/>
    <s v="Standard Class"/>
    <s v="United States"/>
    <s v="Pennsylvania"/>
    <s v="Philadelphia"/>
    <x v="3"/>
    <s v="19120"/>
    <s v="OFF-FA-10000992"/>
    <x v="1"/>
    <x v="14"/>
    <s v="Acco Clips to Go Binder Clips, 24 Clips in Two Sizes"/>
    <n v="5.68"/>
    <n v="1.917"/>
    <n v="0.33750000000000002"/>
    <n v="2"/>
    <x v="1"/>
    <x v="1"/>
    <x v="6"/>
    <x v="6"/>
  </r>
  <r>
    <n v="2450"/>
    <s v="CA-2016-140207"/>
    <x v="168"/>
    <d v="2016-10-11T00:00:00"/>
    <n v="153"/>
    <s v="CS-12400"/>
    <s v="Christopher Schild"/>
    <x v="2"/>
    <s v="Standard Class"/>
    <s v="United States"/>
    <s v="California"/>
    <s v="San Jose"/>
    <x v="1"/>
    <s v="95123"/>
    <s v="OFF-BI-10003963"/>
    <x v="1"/>
    <x v="1"/>
    <s v="Cardinal Holdit Data Disk Pockets"/>
    <n v="29.12"/>
    <n v="9.8279999999999994"/>
    <n v="0.33749999999999997"/>
    <n v="5"/>
    <x v="1"/>
    <x v="0"/>
    <x v="1"/>
    <x v="1"/>
  </r>
  <r>
    <n v="2467"/>
    <s v="CA-2017-128755"/>
    <x v="107"/>
    <d v="2017-08-05T00:00:00"/>
    <n v="122"/>
    <s v="MK-18160"/>
    <s v="Mike Kennedy"/>
    <x v="0"/>
    <s v="Standard Class"/>
    <s v="United States"/>
    <s v="Virginia"/>
    <s v="Newport News"/>
    <x v="0"/>
    <s v="23602"/>
    <s v="OFF-PA-10000726"/>
    <x v="1"/>
    <x v="4"/>
    <s v="Black Print Carbonless Snap-Off Rapid Letter, 8 1/2&quot; x 7&quot;"/>
    <n v="9.11"/>
    <n v="4.0994999999999999"/>
    <n v="0.45"/>
    <n v="1"/>
    <x v="0"/>
    <x v="2"/>
    <x v="2"/>
    <x v="2"/>
  </r>
  <r>
    <n v="2474"/>
    <s v="CA-2016-114972"/>
    <x v="12"/>
    <d v="2016-06-11T00:00:00"/>
    <n v="92"/>
    <s v="PF-19225"/>
    <s v="Phillip Flathmann"/>
    <x v="0"/>
    <s v="First Class"/>
    <s v="United States"/>
    <s v="California"/>
    <s v="Los Angeles"/>
    <x v="1"/>
    <s v="90032"/>
    <s v="FUR-CH-10001190"/>
    <x v="0"/>
    <x v="12"/>
    <s v="Global Deluxe High-Back Office Chair in Storm"/>
    <n v="217.584"/>
    <n v="-29.9178"/>
    <n v="-0.13749999999999998"/>
    <n v="2"/>
    <x v="1"/>
    <x v="0"/>
    <x v="4"/>
    <x v="4"/>
  </r>
  <r>
    <n v="2487"/>
    <s v="CA-2015-104514"/>
    <x v="25"/>
    <d v="2015-04-01T00:00:00"/>
    <n v="59"/>
    <s v="CB-12535"/>
    <s v="Claudia Bergmann"/>
    <x v="1"/>
    <s v="Second Class"/>
    <s v="United States"/>
    <s v="Delaware"/>
    <s v="Newark"/>
    <x v="3"/>
    <s v="19711"/>
    <s v="OFF-ST-10001837"/>
    <x v="1"/>
    <x v="6"/>
    <s v="SAFCO Mobile Desk Side File, Wire Frame"/>
    <n v="85.52"/>
    <n v="22.235199999999999"/>
    <n v="0.26"/>
    <n v="2"/>
    <x v="0"/>
    <x v="3"/>
    <x v="7"/>
    <x v="7"/>
  </r>
  <r>
    <n v="2508"/>
    <s v="CA-2015-120397"/>
    <x v="169"/>
    <d v="2015-02-07T00:00:00"/>
    <n v="0"/>
    <s v="RB-19435"/>
    <s v="Richard Bierner"/>
    <x v="0"/>
    <s v="Same Day"/>
    <s v="United States"/>
    <s v="Texas"/>
    <s v="Houston"/>
    <x v="2"/>
    <s v="77070"/>
    <s v="OFF-AP-10001293"/>
    <x v="1"/>
    <x v="8"/>
    <s v="Belkin 8 Outlet Surge Protector"/>
    <n v="32.783999999999999"/>
    <n v="-85.238399999999999"/>
    <n v="-2.6"/>
    <n v="4"/>
    <x v="2"/>
    <x v="3"/>
    <x v="7"/>
    <x v="7"/>
  </r>
  <r>
    <n v="2509"/>
    <s v="CA-2017-163902"/>
    <x v="170"/>
    <d v="2017-08-03T00:00:00"/>
    <n v="181"/>
    <s v="MY-17380"/>
    <s v="Maribeth Yedwab"/>
    <x v="1"/>
    <s v="Standard Class"/>
    <s v="United States"/>
    <s v="California"/>
    <s v="Los Angeles"/>
    <x v="1"/>
    <s v="90045"/>
    <s v="TEC-PH-10000675"/>
    <x v="2"/>
    <x v="2"/>
    <s v="Panasonic KX TS3282B Corded phone"/>
    <n v="196.77600000000001"/>
    <n v="14.7582"/>
    <n v="7.4999999999999997E-2"/>
    <n v="3"/>
    <x v="1"/>
    <x v="2"/>
    <x v="7"/>
    <x v="7"/>
  </r>
  <r>
    <n v="2567"/>
    <s v="CA-2017-123967"/>
    <x v="171"/>
    <d v="2017-03-11T00:00:00"/>
    <n v="59"/>
    <s v="SF-20200"/>
    <s v="Sarah Foster"/>
    <x v="0"/>
    <s v="Second Class"/>
    <s v="United States"/>
    <s v="Washington"/>
    <s v="Bellingham"/>
    <x v="1"/>
    <s v="98226"/>
    <s v="OFF-BI-10001308"/>
    <x v="1"/>
    <x v="1"/>
    <s v="GBC Standard Plastic Binding Systems' Combs"/>
    <n v="25.12"/>
    <n v="7.85"/>
    <n v="0.3125"/>
    <n v="5"/>
    <x v="1"/>
    <x v="2"/>
    <x v="6"/>
    <x v="6"/>
  </r>
  <r>
    <n v="2586"/>
    <s v="CA-2015-121041"/>
    <x v="120"/>
    <d v="2015-10-11T00:00:00"/>
    <n v="214"/>
    <s v="CS-12250"/>
    <s v="Chris Selesnick"/>
    <x v="1"/>
    <s v="Standard Class"/>
    <s v="United States"/>
    <s v="Texas"/>
    <s v="Haltom City"/>
    <x v="2"/>
    <s v="76117"/>
    <s v="OFF-EN-10001137"/>
    <x v="1"/>
    <x v="5"/>
    <s v="#10 Gummed Flap White Envelopes, 100/Box"/>
    <n v="6.6079999999999997"/>
    <n v="2.1476000000000002"/>
    <n v="0.32500000000000007"/>
    <n v="2"/>
    <x v="1"/>
    <x v="3"/>
    <x v="4"/>
    <x v="4"/>
  </r>
  <r>
    <n v="2589"/>
    <s v="CA-2016-137729"/>
    <x v="108"/>
    <d v="2016-09-05T00:00:00"/>
    <n v="123"/>
    <s v="BF-11005"/>
    <s v="Barry Franz"/>
    <x v="2"/>
    <s v="Standard Class"/>
    <s v="United States"/>
    <s v="California"/>
    <s v="Los Angeles"/>
    <x v="1"/>
    <s v="90004"/>
    <s v="OFF-ST-10001505"/>
    <x v="1"/>
    <x v="6"/>
    <s v="Perma STOR-ALL Hanging File Box, 13 1/8&quot;W x 12 1/4&quot;D x 10 1/2&quot;H"/>
    <n v="5.98"/>
    <n v="1.0165999999999999"/>
    <n v="0.16999999999999998"/>
    <n v="1"/>
    <x v="0"/>
    <x v="0"/>
    <x v="1"/>
    <x v="1"/>
  </r>
  <r>
    <n v="2607"/>
    <s v="CA-2016-154053"/>
    <x v="172"/>
    <d v="2016-10-03T00:00:00"/>
    <n v="183"/>
    <s v="MG-17890"/>
    <s v="Michael Granlund"/>
    <x v="2"/>
    <s v="Standard Class"/>
    <s v="United States"/>
    <s v="California"/>
    <s v="San Diego"/>
    <x v="1"/>
    <s v="92024"/>
    <s v="OFF-AR-10003727"/>
    <x v="1"/>
    <x v="3"/>
    <s v="Berol Giant Pencil Sharpener"/>
    <n v="16.989999999999998"/>
    <n v="4.9271000000000003"/>
    <n v="0.29000000000000004"/>
    <n v="1"/>
    <x v="0"/>
    <x v="0"/>
    <x v="2"/>
    <x v="2"/>
  </r>
  <r>
    <n v="2617"/>
    <s v="CA-2017-147942"/>
    <x v="173"/>
    <d v="2017-05-04T00:00:00"/>
    <n v="120"/>
    <s v="MS-17365"/>
    <s v="Maribeth Schnelling"/>
    <x v="0"/>
    <s v="Standard Class"/>
    <s v="United States"/>
    <s v="California"/>
    <s v="San Francisco"/>
    <x v="1"/>
    <s v="94110"/>
    <s v="OFF-LA-10003663"/>
    <x v="1"/>
    <x v="10"/>
    <s v="Avery 498"/>
    <n v="5.78"/>
    <n v="2.7166000000000001"/>
    <n v="0.47000000000000003"/>
    <n v="2"/>
    <x v="0"/>
    <x v="2"/>
    <x v="6"/>
    <x v="6"/>
  </r>
  <r>
    <n v="2635"/>
    <s v="CA-2015-116750"/>
    <x v="174"/>
    <d v="2015-10-07T00:00:00"/>
    <n v="153"/>
    <s v="BF-10975"/>
    <s v="Barbara Fisher"/>
    <x v="1"/>
    <s v="Second Class"/>
    <s v="United States"/>
    <s v="North Carolina"/>
    <s v="Fayetteville"/>
    <x v="0"/>
    <s v="28314"/>
    <s v="FUR-FU-10003829"/>
    <x v="0"/>
    <x v="7"/>
    <s v="Stackable Trays"/>
    <n v="4.9279999999999999"/>
    <n v="0.73919999999999997"/>
    <n v="0.15"/>
    <n v="2"/>
    <x v="1"/>
    <x v="3"/>
    <x v="1"/>
    <x v="1"/>
  </r>
  <r>
    <n v="2671"/>
    <s v="CA-2014-126403"/>
    <x v="175"/>
    <d v="2014-12-09T00:00:00"/>
    <n v="91"/>
    <s v="RR-19525"/>
    <s v="Rick Reed"/>
    <x v="1"/>
    <s v="Second Class"/>
    <s v="United States"/>
    <s v="Massachusetts"/>
    <s v="Lowell"/>
    <x v="3"/>
    <s v="1852"/>
    <s v="OFF-PA-10001144"/>
    <x v="1"/>
    <x v="4"/>
    <s v="Xerox 1913"/>
    <n v="166.44"/>
    <n v="79.891199999999998"/>
    <n v="0.48"/>
    <n v="3"/>
    <x v="0"/>
    <x v="1"/>
    <x v="3"/>
    <x v="3"/>
  </r>
  <r>
    <n v="2686"/>
    <s v="CA-2016-133123"/>
    <x v="10"/>
    <d v="2016-11-09T00:00:00"/>
    <n v="153"/>
    <s v="KB-16315"/>
    <s v="Karl Braun"/>
    <x v="0"/>
    <s v="Standard Class"/>
    <s v="United States"/>
    <s v="North Carolina"/>
    <s v="Thomasville"/>
    <x v="0"/>
    <s v="27360"/>
    <s v="OFF-EN-10003055"/>
    <x v="1"/>
    <x v="5"/>
    <s v="Blue String-Tie &amp; Button Interoffice Envelopes, 10 x 13"/>
    <n v="95.951999999999998"/>
    <n v="29.984999999999999"/>
    <n v="0.3125"/>
    <n v="3"/>
    <x v="1"/>
    <x v="0"/>
    <x v="5"/>
    <x v="5"/>
  </r>
  <r>
    <n v="2688"/>
    <s v="US-2016-128195"/>
    <x v="176"/>
    <d v="2016-05-08T00:00:00"/>
    <n v="30"/>
    <s v="RA-19285"/>
    <s v="Ralph Arnett"/>
    <x v="0"/>
    <s v="First Class"/>
    <s v="United States"/>
    <s v="Illinois"/>
    <s v="Peoria"/>
    <x v="2"/>
    <s v="61604"/>
    <s v="OFF-BI-10002003"/>
    <x v="1"/>
    <x v="1"/>
    <s v="Ibico Presentation Index for Binding Systems"/>
    <n v="3.98"/>
    <n v="-6.5670000000000002"/>
    <n v="-1.6500000000000001"/>
    <n v="5"/>
    <x v="2"/>
    <x v="0"/>
    <x v="2"/>
    <x v="2"/>
  </r>
  <r>
    <n v="2696"/>
    <s v="CA-2016-161662"/>
    <x v="135"/>
    <d v="2016-09-02T00:00:00"/>
    <n v="62"/>
    <s v="BE-11410"/>
    <s v="Bobby Elias"/>
    <x v="0"/>
    <s v="First Class"/>
    <s v="United States"/>
    <s v="Ohio"/>
    <s v="Lancaster"/>
    <x v="3"/>
    <s v="43130"/>
    <s v="OFF-PA-10003465"/>
    <x v="1"/>
    <x v="4"/>
    <s v="Xerox 1912"/>
    <n v="30.352"/>
    <n v="10.623200000000001"/>
    <n v="0.35000000000000003"/>
    <n v="2"/>
    <x v="1"/>
    <x v="0"/>
    <x v="9"/>
    <x v="9"/>
  </r>
  <r>
    <n v="2712"/>
    <s v="CA-2017-132430"/>
    <x v="101"/>
    <d v="2017-11-10T00:00:00"/>
    <n v="61"/>
    <s v="CP-12085"/>
    <s v="Cathy Prescott"/>
    <x v="1"/>
    <s v="First Class"/>
    <s v="United States"/>
    <s v="Ohio"/>
    <s v="Lakewood"/>
    <x v="3"/>
    <s v="44107"/>
    <s v="FUR-FU-10003577"/>
    <x v="0"/>
    <x v="7"/>
    <s v="Nu-Dell Leatherette Frames"/>
    <n v="45.887999999999998"/>
    <n v="9.1776"/>
    <n v="0.2"/>
    <n v="4"/>
    <x v="1"/>
    <x v="2"/>
    <x v="3"/>
    <x v="3"/>
  </r>
  <r>
    <n v="2716"/>
    <s v="CA-2014-127187"/>
    <x v="177"/>
    <d v="2014-08-12T00:00:00"/>
    <n v="122"/>
    <s v="CP-12085"/>
    <s v="Cathy Prescott"/>
    <x v="1"/>
    <s v="Standard Class"/>
    <s v="United States"/>
    <s v="New York"/>
    <s v="New York City"/>
    <x v="3"/>
    <s v="10024"/>
    <s v="TEC-PH-10000673"/>
    <x v="2"/>
    <x v="2"/>
    <s v="Plantronics Voyager Pro HD - Bluetooth Headset"/>
    <n v="129.97999999999999"/>
    <n v="62.3904"/>
    <n v="0.48000000000000004"/>
    <n v="2"/>
    <x v="0"/>
    <x v="1"/>
    <x v="2"/>
    <x v="2"/>
  </r>
  <r>
    <n v="2724"/>
    <s v="CA-2014-153479"/>
    <x v="178"/>
    <d v="2014-08-10T00:00:00"/>
    <n v="122"/>
    <s v="DF-13135"/>
    <s v="David Flashing"/>
    <x v="0"/>
    <s v="Standard Class"/>
    <s v="United States"/>
    <s v="California"/>
    <s v="Vallejo"/>
    <x v="1"/>
    <s v="94591"/>
    <s v="OFF-LA-10004689"/>
    <x v="1"/>
    <x v="10"/>
    <s v="Avery 512"/>
    <n v="14.45"/>
    <n v="6.7915000000000001"/>
    <n v="0.47000000000000003"/>
    <n v="5"/>
    <x v="0"/>
    <x v="1"/>
    <x v="2"/>
    <x v="2"/>
  </r>
  <r>
    <n v="2751"/>
    <s v="CA-2014-154669"/>
    <x v="179"/>
    <d v="2014-11-08T00:00:00"/>
    <n v="92"/>
    <s v="TM-21010"/>
    <s v="Tamara Manning"/>
    <x v="0"/>
    <s v="Second Class"/>
    <s v="United States"/>
    <s v="California"/>
    <s v="Vacaville"/>
    <x v="1"/>
    <s v="95687"/>
    <s v="OFF-ST-10000532"/>
    <x v="1"/>
    <x v="6"/>
    <s v="Advantus Rolling Drawer Organizers"/>
    <n v="423.28"/>
    <n v="110.0528"/>
    <n v="0.26"/>
    <n v="11"/>
    <x v="0"/>
    <x v="1"/>
    <x v="0"/>
    <x v="0"/>
  </r>
  <r>
    <n v="2769"/>
    <s v="US-2015-122140"/>
    <x v="180"/>
    <d v="2015-07-04T00:00:00"/>
    <n v="150"/>
    <s v="MO-17950"/>
    <s v="Michael Oakman"/>
    <x v="0"/>
    <s v="Standard Class"/>
    <s v="United States"/>
    <s v="Texas"/>
    <s v="Dallas"/>
    <x v="2"/>
    <s v="75220"/>
    <s v="OFF-AP-10001242"/>
    <x v="1"/>
    <x v="8"/>
    <s v="APC 7 Outlet Network SurgeArrest Surge Protector"/>
    <n v="32.192"/>
    <n v="-80.48"/>
    <n v="-2.5"/>
    <n v="2"/>
    <x v="2"/>
    <x v="3"/>
    <x v="7"/>
    <x v="7"/>
  </r>
  <r>
    <n v="2772"/>
    <s v="CA-2016-163986"/>
    <x v="74"/>
    <d v="2016-10-09T00:00:00"/>
    <n v="214"/>
    <s v="JJ-15445"/>
    <s v="Jennifer Jackson"/>
    <x v="0"/>
    <s v="Standard Class"/>
    <s v="United States"/>
    <s v="Wisconsin"/>
    <s v="Waukesha"/>
    <x v="2"/>
    <s v="53186"/>
    <s v="OFF-ST-10000918"/>
    <x v="1"/>
    <x v="6"/>
    <s v="Crate-A-Files"/>
    <n v="54.5"/>
    <n v="14.17"/>
    <n v="0.26"/>
    <n v="5"/>
    <x v="0"/>
    <x v="0"/>
    <x v="4"/>
    <x v="4"/>
  </r>
  <r>
    <n v="2784"/>
    <s v="US-2016-106677"/>
    <x v="168"/>
    <d v="2016-10-11T00:00:00"/>
    <n v="153"/>
    <s v="AS-10285"/>
    <s v="Alejandro Savely"/>
    <x v="1"/>
    <s v="Standard Class"/>
    <s v="United States"/>
    <s v="Pennsylvania"/>
    <s v="Philadelphia"/>
    <x v="3"/>
    <s v="19134"/>
    <s v="TEC-PH-10003187"/>
    <x v="2"/>
    <x v="2"/>
    <s v="Anker Astro Mini 3000mAh Ultra-Compact Portable Charger"/>
    <n v="23.988"/>
    <n v="-15.992000000000001"/>
    <n v="-0.66666666666666674"/>
    <n v="2"/>
    <x v="4"/>
    <x v="0"/>
    <x v="1"/>
    <x v="1"/>
  </r>
  <r>
    <n v="2802"/>
    <s v="US-2015-110163"/>
    <x v="181"/>
    <d v="2015-04-11T00:00:00"/>
    <n v="90"/>
    <s v="GA-14725"/>
    <s v="Guy Armstrong"/>
    <x v="0"/>
    <s v="First Class"/>
    <s v="United States"/>
    <s v="Oregon"/>
    <s v="Salem"/>
    <x v="1"/>
    <s v="97301"/>
    <s v="OFF-AR-10001683"/>
    <x v="1"/>
    <x v="3"/>
    <s v="Lumber Crayons"/>
    <n v="7.88"/>
    <n v="1.7729999999999999"/>
    <n v="0.22499999999999998"/>
    <n v="1"/>
    <x v="1"/>
    <x v="3"/>
    <x v="6"/>
    <x v="6"/>
  </r>
  <r>
    <n v="2806"/>
    <s v="CA-2015-122623"/>
    <x v="182"/>
    <d v="2015-11-09T00:00:00"/>
    <n v="123"/>
    <s v="CC-12145"/>
    <s v="Charles Crestani"/>
    <x v="0"/>
    <s v="Standard Class"/>
    <s v="United States"/>
    <s v="Texas"/>
    <s v="El Paso"/>
    <x v="2"/>
    <s v="79907"/>
    <s v="FUR-CH-10000553"/>
    <x v="0"/>
    <x v="12"/>
    <s v="Metal Folding Chairs, Beige, 4/Carton"/>
    <n v="47.515999999999998"/>
    <n v="-2.0364"/>
    <n v="-4.2857142857142858E-2"/>
    <n v="2"/>
    <x v="8"/>
    <x v="3"/>
    <x v="9"/>
    <x v="9"/>
  </r>
  <r>
    <n v="2832"/>
    <s v="CA-2014-148915"/>
    <x v="68"/>
    <d v="2014-05-11T00:00:00"/>
    <n v="120"/>
    <s v="ND-18370"/>
    <s v="Natalie DeCherney"/>
    <x v="0"/>
    <s v="Standard Class"/>
    <s v="United States"/>
    <s v="Oregon"/>
    <s v="Portland"/>
    <x v="1"/>
    <s v="97206"/>
    <s v="OFF-ST-10001128"/>
    <x v="1"/>
    <x v="6"/>
    <s v="Carina Mini System Audio Rack, Model AR050B"/>
    <n v="443.92"/>
    <n v="-94.332999999999998"/>
    <n v="-0.21249999999999999"/>
    <n v="5"/>
    <x v="1"/>
    <x v="1"/>
    <x v="6"/>
    <x v="6"/>
  </r>
  <r>
    <n v="2840"/>
    <s v="US-2015-104185"/>
    <x v="6"/>
    <d v="2015-08-09T00:00:00"/>
    <n v="153"/>
    <s v="JB-15400"/>
    <s v="Jennifer Braxton"/>
    <x v="1"/>
    <s v="Second Class"/>
    <s v="United States"/>
    <s v="New York"/>
    <s v="New York City"/>
    <x v="3"/>
    <s v="10009"/>
    <s v="OFF-ST-10001526"/>
    <x v="1"/>
    <x v="6"/>
    <s v="Iceberg Mobile Mega Data/Printer Cart"/>
    <n v="120.33"/>
    <n v="31.285799999999998"/>
    <n v="0.26"/>
    <n v="1"/>
    <x v="0"/>
    <x v="3"/>
    <x v="4"/>
    <x v="4"/>
  </r>
  <r>
    <n v="2890"/>
    <s v="CA-2017-164049"/>
    <x v="183"/>
    <d v="2017-06-11T00:00:00"/>
    <n v="120"/>
    <s v="KH-16630"/>
    <s v="Ken Heidel"/>
    <x v="1"/>
    <s v="Standard Class"/>
    <s v="United States"/>
    <s v="Washington"/>
    <s v="Seattle"/>
    <x v="1"/>
    <s v="98105"/>
    <s v="OFF-PA-10000791"/>
    <x v="1"/>
    <x v="4"/>
    <s v="Wirebound Message Books, Four 2 3/4 x 5 Forms per Page, 200 Sets per Book"/>
    <n v="23.85"/>
    <n v="10.7325"/>
    <n v="0.44999999999999996"/>
    <n v="5"/>
    <x v="0"/>
    <x v="2"/>
    <x v="7"/>
    <x v="7"/>
  </r>
  <r>
    <n v="2898"/>
    <s v="US-2016-164630"/>
    <x v="184"/>
    <d v="2016-09-01T00:00:00"/>
    <n v="153"/>
    <s v="EB-13975"/>
    <s v="Erica Bern"/>
    <x v="1"/>
    <s v="Standard Class"/>
    <s v="United States"/>
    <s v="North Carolina"/>
    <s v="Charlotte"/>
    <x v="0"/>
    <s v="28205"/>
    <s v="TEC-CO-10000971"/>
    <x v="2"/>
    <x v="16"/>
    <s v="Hewlett Packard 310 Color Digital Copier"/>
    <n v="959.96799999999996"/>
    <n v="119.996"/>
    <n v="0.125"/>
    <n v="4"/>
    <x v="1"/>
    <x v="0"/>
    <x v="2"/>
    <x v="2"/>
  </r>
  <r>
    <n v="2907"/>
    <s v="CA-2017-121615"/>
    <x v="32"/>
    <d v="2017-09-11T00:00:00"/>
    <n v="184"/>
    <s v="DL-12925"/>
    <s v="Daniel Lacy"/>
    <x v="0"/>
    <s v="Standard Class"/>
    <s v="United States"/>
    <s v="Minnesota"/>
    <s v="Eagan"/>
    <x v="2"/>
    <s v="55122"/>
    <s v="OFF-PA-10000327"/>
    <x v="1"/>
    <x v="4"/>
    <s v="Xerox 1971"/>
    <n v="8.56"/>
    <n v="3.8519999999999999"/>
    <n v="0.44999999999999996"/>
    <n v="2"/>
    <x v="0"/>
    <x v="2"/>
    <x v="4"/>
    <x v="4"/>
  </r>
  <r>
    <n v="2925"/>
    <s v="CA-2014-157721"/>
    <x v="185"/>
    <d v="2014-05-09T00:00:00"/>
    <n v="89"/>
    <s v="JM-16195"/>
    <s v="Justin MacKendrick"/>
    <x v="0"/>
    <s v="First Class"/>
    <s v="United States"/>
    <s v="New York"/>
    <s v="Watertown"/>
    <x v="3"/>
    <s v="13601"/>
    <s v="OFF-AP-10001303"/>
    <x v="1"/>
    <x v="8"/>
    <s v="Holmes Cool Mist Humidifier for the Whole House with 8-Gallon Output per Day, Extended Life Filter"/>
    <n v="19.899999999999999"/>
    <n v="8.9550000000000001"/>
    <n v="0.45"/>
    <n v="1"/>
    <x v="0"/>
    <x v="1"/>
    <x v="7"/>
    <x v="7"/>
  </r>
  <r>
    <n v="2934"/>
    <s v="US-2016-169040"/>
    <x v="186"/>
    <d v="2016-12-12T00:00:00"/>
    <n v="183"/>
    <s v="GT-14710"/>
    <s v="Greg Tran"/>
    <x v="0"/>
    <s v="Standard Class"/>
    <s v="United States"/>
    <s v="Washington"/>
    <s v="Seattle"/>
    <x v="1"/>
    <s v="98105"/>
    <s v="TEC-PH-10002310"/>
    <x v="2"/>
    <x v="2"/>
    <s v="Plantronics Calisto P620-M USB Wireless Speakerphone System"/>
    <n v="156.792"/>
    <n v="13.7193"/>
    <n v="8.7500000000000008E-2"/>
    <n v="1"/>
    <x v="1"/>
    <x v="0"/>
    <x v="5"/>
    <x v="5"/>
  </r>
  <r>
    <n v="2958"/>
    <s v="CA-2017-168900"/>
    <x v="107"/>
    <d v="2017-09-05T00:00:00"/>
    <n v="153"/>
    <s v="SH-20395"/>
    <s v="Shahid Hopkins"/>
    <x v="0"/>
    <s v="Standard Class"/>
    <s v="United States"/>
    <s v="Ohio"/>
    <s v="Springfield"/>
    <x v="3"/>
    <s v="45503"/>
    <s v="OFF-BI-10003910"/>
    <x v="1"/>
    <x v="1"/>
    <s v="DXL Angle-View Binders with Locking Rings by Samsill"/>
    <n v="2.3130000000000002"/>
    <n v="-1.9275"/>
    <n v="-0.83333333333333326"/>
    <n v="1"/>
    <x v="3"/>
    <x v="2"/>
    <x v="2"/>
    <x v="2"/>
  </r>
  <r>
    <n v="2977"/>
    <s v="CA-2017-139773"/>
    <x v="187"/>
    <d v="2017-04-12T00:00:00"/>
    <n v="0"/>
    <s v="DV-13045"/>
    <s v="Darrin Van Huff"/>
    <x v="1"/>
    <s v="Same Day"/>
    <s v="United States"/>
    <s v="Pennsylvania"/>
    <s v="Philadelphia"/>
    <x v="3"/>
    <s v="19143"/>
    <s v="FUR-CH-10001797"/>
    <x v="0"/>
    <x v="12"/>
    <s v="Safco Chair Connectors, 6/Carton"/>
    <n v="188.55199999999999"/>
    <n v="-2.6936"/>
    <n v="-1.4285714285714287E-2"/>
    <n v="7"/>
    <x v="8"/>
    <x v="2"/>
    <x v="2"/>
    <x v="2"/>
  </r>
  <r>
    <n v="2978"/>
    <s v="CA-2017-134607"/>
    <x v="146"/>
    <d v="2017-08-10T00:00:00"/>
    <n v="153"/>
    <s v="HL-15040"/>
    <s v="Hunter Lopez"/>
    <x v="0"/>
    <s v="Second Class"/>
    <s v="United States"/>
    <s v="New York"/>
    <s v="Rochester"/>
    <x v="3"/>
    <s v="14609"/>
    <s v="OFF-ST-10002214"/>
    <x v="1"/>
    <x v="6"/>
    <s v="X-Rack File for Hanging Folders"/>
    <n v="22.58"/>
    <n v="5.8708"/>
    <n v="0.26"/>
    <n v="2"/>
    <x v="0"/>
    <x v="2"/>
    <x v="4"/>
    <x v="4"/>
  </r>
  <r>
    <n v="3003"/>
    <s v="CA-2015-130610"/>
    <x v="174"/>
    <d v="2015-10-07T00:00:00"/>
    <n v="153"/>
    <s v="VP-21730"/>
    <s v="Victor Preis"/>
    <x v="2"/>
    <s v="Standard Class"/>
    <s v="United States"/>
    <s v="Michigan"/>
    <s v="Sterling Heights"/>
    <x v="2"/>
    <s v="48310"/>
    <s v="OFF-BI-10003655"/>
    <x v="1"/>
    <x v="1"/>
    <s v="Durable Pressboard Binders"/>
    <n v="19"/>
    <n v="8.93"/>
    <n v="0.47"/>
    <n v="5"/>
    <x v="0"/>
    <x v="3"/>
    <x v="1"/>
    <x v="1"/>
  </r>
  <r>
    <n v="3005"/>
    <s v="CA-2016-131499"/>
    <x v="38"/>
    <d v="2016-10-09T00:00:00"/>
    <n v="61"/>
    <s v="MG-17875"/>
    <s v="Michael Grace"/>
    <x v="2"/>
    <s v="First Class"/>
    <s v="United States"/>
    <s v="New York"/>
    <s v="New York City"/>
    <x v="3"/>
    <s v="10011"/>
    <s v="OFF-AP-10003779"/>
    <x v="1"/>
    <x v="8"/>
    <s v="Kensington 7 Outlet MasterPiece Power Center with Fax/Phone Line Protection"/>
    <n v="207.48"/>
    <n v="62.244"/>
    <n v="0.3"/>
    <n v="1"/>
    <x v="0"/>
    <x v="0"/>
    <x v="0"/>
    <x v="0"/>
  </r>
  <r>
    <n v="3009"/>
    <s v="CA-2016-124772"/>
    <x v="1"/>
    <d v="2016-06-12T00:00:00"/>
    <n v="31"/>
    <s v="JG-15160"/>
    <s v="James Galang"/>
    <x v="0"/>
    <s v="First Class"/>
    <s v="United States"/>
    <s v="Kentucky"/>
    <s v="Murray"/>
    <x v="0"/>
    <s v="42071"/>
    <s v="FUR-FU-10004748"/>
    <x v="0"/>
    <x v="7"/>
    <s v="Howard Miller 16&quot; Diameter Gallery Wall Clock"/>
    <n v="191.82"/>
    <n v="74.809799999999996"/>
    <n v="0.39"/>
    <n v="3"/>
    <x v="0"/>
    <x v="0"/>
    <x v="1"/>
    <x v="1"/>
  </r>
  <r>
    <n v="3042"/>
    <s v="CA-2017-149559"/>
    <x v="51"/>
    <d v="2017-12-09T00:00:00"/>
    <n v="30"/>
    <s v="KF-16285"/>
    <s v="Karen Ferguson"/>
    <x v="2"/>
    <s v="Same Day"/>
    <s v="United States"/>
    <s v="California"/>
    <s v="Long Beach"/>
    <x v="1"/>
    <s v="90805"/>
    <s v="OFF-PA-10003172"/>
    <x v="1"/>
    <x v="4"/>
    <s v="Xerox 1996"/>
    <n v="12.96"/>
    <n v="6.2207999999999997"/>
    <n v="0.47999999999999993"/>
    <n v="2"/>
    <x v="0"/>
    <x v="2"/>
    <x v="8"/>
    <x v="8"/>
  </r>
  <r>
    <n v="3046"/>
    <s v="CA-2017-125290"/>
    <x v="8"/>
    <d v="2017-10-11T00:00:00"/>
    <n v="122"/>
    <s v="CC-12430"/>
    <s v="Chuck Clark"/>
    <x v="2"/>
    <s v="Second Class"/>
    <s v="United States"/>
    <s v="Minnesota"/>
    <s v="Minneapolis"/>
    <x v="2"/>
    <s v="55407"/>
    <s v="OFF-AR-10001216"/>
    <x v="1"/>
    <x v="3"/>
    <s v="Newell 339"/>
    <n v="13.9"/>
    <n v="3.6139999999999999"/>
    <n v="0.26"/>
    <n v="5"/>
    <x v="0"/>
    <x v="2"/>
    <x v="5"/>
    <x v="5"/>
  </r>
  <r>
    <n v="3051"/>
    <s v="US-2017-148054"/>
    <x v="188"/>
    <d v="2017-11-10T00:00:00"/>
    <n v="153"/>
    <s v="NZ-18565"/>
    <s v="Nick Zandusky"/>
    <x v="2"/>
    <s v="Standard Class"/>
    <s v="United States"/>
    <s v="Idaho"/>
    <s v="Meridian"/>
    <x v="1"/>
    <s v="83642"/>
    <s v="FUR-FU-10003247"/>
    <x v="0"/>
    <x v="7"/>
    <s v="36X48 HARDFLOOR CHAIRMAT"/>
    <n v="41.96"/>
    <n v="2.9371999999999998"/>
    <n v="6.9999999999999993E-2"/>
    <n v="2"/>
    <x v="0"/>
    <x v="2"/>
    <x v="5"/>
    <x v="5"/>
  </r>
  <r>
    <n v="3062"/>
    <s v="CA-2017-127621"/>
    <x v="100"/>
    <d v="2017-07-03T00:00:00"/>
    <n v="122"/>
    <s v="RE-19450"/>
    <s v="Richard Eichhorn"/>
    <x v="0"/>
    <s v="Standard Class"/>
    <s v="United States"/>
    <s v="Texas"/>
    <s v="Dallas"/>
    <x v="2"/>
    <s v="75081"/>
    <s v="OFF-PA-10001307"/>
    <x v="1"/>
    <x v="4"/>
    <s v="Important Message Pads, 50 4-1/4 x 5-1/2 Forms per Pad"/>
    <n v="26.88"/>
    <n v="9.7439999999999998"/>
    <n v="0.36249999999999999"/>
    <n v="8"/>
    <x v="1"/>
    <x v="2"/>
    <x v="4"/>
    <x v="4"/>
  </r>
  <r>
    <n v="3104"/>
    <s v="CA-2016-124562"/>
    <x v="2"/>
    <d v="2016-12-12T00:00:00"/>
    <n v="122"/>
    <s v="JP-16135"/>
    <s v="Julie Prescott"/>
    <x v="2"/>
    <s v="Standard Class"/>
    <s v="United States"/>
    <s v="Ohio"/>
    <s v="Columbus"/>
    <x v="3"/>
    <s v="43229"/>
    <s v="OFF-BI-10001267"/>
    <x v="1"/>
    <x v="1"/>
    <s v="Universal Recycled Hanging Pressboard Report Binders, Letter Size"/>
    <n v="12.957000000000001"/>
    <n v="-9.5017999999999994"/>
    <n v="-0.73333333333333328"/>
    <n v="7"/>
    <x v="3"/>
    <x v="0"/>
    <x v="0"/>
    <x v="0"/>
  </r>
  <r>
    <n v="3128"/>
    <s v="CA-2017-147564"/>
    <x v="65"/>
    <d v="2017-06-10T00:00:00"/>
    <n v="120"/>
    <s v="BP-11155"/>
    <s v="Becky Pak"/>
    <x v="0"/>
    <s v="Standard Class"/>
    <s v="United States"/>
    <s v="New York"/>
    <s v="New York City"/>
    <x v="3"/>
    <s v="10011"/>
    <s v="OFF-PA-10004438"/>
    <x v="1"/>
    <x v="4"/>
    <s v="Xerox 1907"/>
    <n v="49.12"/>
    <n v="23.086400000000001"/>
    <n v="0.47000000000000003"/>
    <n v="4"/>
    <x v="0"/>
    <x v="2"/>
    <x v="7"/>
    <x v="7"/>
  </r>
  <r>
    <n v="3178"/>
    <s v="CA-2017-122280"/>
    <x v="189"/>
    <d v="2017-10-09T00:00:00"/>
    <n v="0"/>
    <s v="SH-20395"/>
    <s v="Shahid Hopkins"/>
    <x v="0"/>
    <s v="Same Day"/>
    <s v="United States"/>
    <s v="New York"/>
    <s v="New York City"/>
    <x v="3"/>
    <s v="10024"/>
    <s v="OFF-PA-10004911"/>
    <x v="1"/>
    <x v="4"/>
    <s v="Rediform S.O.S. 1-Up Phone Message Bk, 4-1/4x3-1/16 Bk, 1 Form/Pg, 40 Messages/Bk, 3/Pk"/>
    <n v="18.760000000000002"/>
    <n v="9.0047999999999995"/>
    <n v="0.47999999999999993"/>
    <n v="2"/>
    <x v="0"/>
    <x v="2"/>
    <x v="10"/>
    <x v="10"/>
  </r>
  <r>
    <n v="3182"/>
    <s v="CA-2017-152912"/>
    <x v="9"/>
    <d v="2017-12-11T00:00:00"/>
    <n v="91"/>
    <s v="BM-11650"/>
    <s v="Brian Moss"/>
    <x v="1"/>
    <s v="Second Class"/>
    <s v="United States"/>
    <s v="Maryland"/>
    <s v="Columbia"/>
    <x v="3"/>
    <s v="21044"/>
    <s v="OFF-BI-10004728"/>
    <x v="1"/>
    <x v="1"/>
    <s v="Wilson Jones Turn Tabs Binder Tool for Ring Binders"/>
    <n v="9.64"/>
    <n v="4.4344000000000001"/>
    <n v="0.45999999999999996"/>
    <n v="2"/>
    <x v="0"/>
    <x v="2"/>
    <x v="3"/>
    <x v="3"/>
  </r>
  <r>
    <n v="3192"/>
    <s v="CA-2017-123981"/>
    <x v="65"/>
    <d v="2017-08-10T00:00:00"/>
    <n v="181"/>
    <s v="RW-19630"/>
    <s v="Rob Williams"/>
    <x v="1"/>
    <s v="Standard Class"/>
    <s v="United States"/>
    <s v="New York"/>
    <s v="New York City"/>
    <x v="3"/>
    <s v="10035"/>
    <s v="TEC-PH-10002115"/>
    <x v="2"/>
    <x v="2"/>
    <s v="Plantronics 81402"/>
    <n v="65.989999999999995"/>
    <n v="17.157399999999999"/>
    <n v="0.26"/>
    <n v="1"/>
    <x v="0"/>
    <x v="2"/>
    <x v="7"/>
    <x v="7"/>
  </r>
  <r>
    <n v="3193"/>
    <s v="CA-2017-158953"/>
    <x v="96"/>
    <d v="2017-08-06T00:00:00"/>
    <n v="122"/>
    <s v="ML-18040"/>
    <s v="Michelle Lonsdale"/>
    <x v="1"/>
    <s v="Standard Class"/>
    <s v="United States"/>
    <s v="Texas"/>
    <s v="Missouri City"/>
    <x v="2"/>
    <s v="77489"/>
    <s v="OFF-BI-10002557"/>
    <x v="1"/>
    <x v="1"/>
    <s v="Presstex Flexible Ring Binders"/>
    <n v="6.37"/>
    <n v="-9.5549999999999997"/>
    <n v="-1.5"/>
    <n v="7"/>
    <x v="2"/>
    <x v="2"/>
    <x v="2"/>
    <x v="2"/>
  </r>
  <r>
    <n v="3198"/>
    <s v="CA-2015-149384"/>
    <x v="190"/>
    <d v="2015-10-07T00:00:00"/>
    <n v="0"/>
    <s v="EH-13945"/>
    <s v="Eric Hoffmann"/>
    <x v="0"/>
    <s v="Same Day"/>
    <s v="United States"/>
    <s v="Arizona"/>
    <s v="Tempe"/>
    <x v="1"/>
    <s v="85281"/>
    <s v="OFF-BI-10003196"/>
    <x v="1"/>
    <x v="1"/>
    <s v="Accohide Poly Flexible Ring Binders"/>
    <n v="3.3660000000000001"/>
    <n v="-2.2440000000000002"/>
    <n v="-0.66666666666666674"/>
    <n v="3"/>
    <x v="3"/>
    <x v="3"/>
    <x v="10"/>
    <x v="10"/>
  </r>
  <r>
    <n v="3199"/>
    <s v="CA-2014-131527"/>
    <x v="139"/>
    <d v="2014-07-12T00:00:00"/>
    <n v="181"/>
    <s v="TB-21280"/>
    <s v="Toby Braunhardt"/>
    <x v="0"/>
    <s v="Standard Class"/>
    <s v="United States"/>
    <s v="North Carolina"/>
    <s v="Jacksonville"/>
    <x v="0"/>
    <s v="28540"/>
    <s v="TEC-PH-10001644"/>
    <x v="2"/>
    <x v="2"/>
    <s v="BlueLounge Milo Smartphone Stand, White/Metallic"/>
    <n v="95.968000000000004"/>
    <n v="9.5968"/>
    <n v="9.9999999999999992E-2"/>
    <n v="4"/>
    <x v="1"/>
    <x v="1"/>
    <x v="6"/>
    <x v="6"/>
  </r>
  <r>
    <n v="3216"/>
    <s v="CA-2017-150189"/>
    <x v="34"/>
    <d v="2017-10-07T00:00:00"/>
    <n v="61"/>
    <s v="VG-21790"/>
    <s v="Vivek Gonzalez"/>
    <x v="0"/>
    <s v="First Class"/>
    <s v="United States"/>
    <s v="California"/>
    <s v="San Mateo"/>
    <x v="1"/>
    <s v="94403"/>
    <s v="OFF-LA-10002762"/>
    <x v="1"/>
    <x v="10"/>
    <s v="Avery 485"/>
    <n v="75.180000000000007"/>
    <n v="35.334600000000002"/>
    <n v="0.47"/>
    <n v="6"/>
    <x v="0"/>
    <x v="2"/>
    <x v="0"/>
    <x v="0"/>
  </r>
  <r>
    <n v="3231"/>
    <s v="CA-2017-131625"/>
    <x v="191"/>
    <d v="2017-05-09T00:00:00"/>
    <n v="120"/>
    <s v="BN-11515"/>
    <s v="Bradley Nguyen"/>
    <x v="0"/>
    <s v="Second Class"/>
    <s v="United States"/>
    <s v="New York"/>
    <s v="New York City"/>
    <x v="3"/>
    <s v="10009"/>
    <s v="FUR-FU-10004960"/>
    <x v="0"/>
    <x v="7"/>
    <s v="Seth Thomas 12&quot; Clock w/ Goldtone Case"/>
    <n v="114.9"/>
    <n v="39.066000000000003"/>
    <n v="0.34"/>
    <n v="5"/>
    <x v="0"/>
    <x v="2"/>
    <x v="6"/>
    <x v="6"/>
  </r>
  <r>
    <n v="3244"/>
    <s v="CA-2017-113355"/>
    <x v="24"/>
    <d v="2017-05-12T00:00:00"/>
    <n v="120"/>
    <s v="SJ-20215"/>
    <s v="Sarah Jordon"/>
    <x v="0"/>
    <s v="Standard Class"/>
    <s v="United States"/>
    <s v="Texas"/>
    <s v="Grand Prairie"/>
    <x v="2"/>
    <s v="75051"/>
    <s v="TEC-PH-10004912"/>
    <x v="2"/>
    <x v="2"/>
    <s v="Cisco SPA112 2 Port Phone Adapter"/>
    <n v="219.8"/>
    <n v="24.727499999999999"/>
    <n v="0.11249999999999999"/>
    <n v="5"/>
    <x v="1"/>
    <x v="2"/>
    <x v="6"/>
    <x v="6"/>
  </r>
  <r>
    <n v="3296"/>
    <s v="CA-2017-113418"/>
    <x v="41"/>
    <d v="2017-03-10T00:00:00"/>
    <n v="59"/>
    <s v="CM-12655"/>
    <s v="Corinna Mitchell"/>
    <x v="2"/>
    <s v="First Class"/>
    <s v="United States"/>
    <s v="New York"/>
    <s v="New York City"/>
    <x v="3"/>
    <s v="10035"/>
    <s v="TEC-MA-10002428"/>
    <x v="2"/>
    <x v="13"/>
    <s v="Fellowes Powershred HS-440 4-Sheet High Security Shredder"/>
    <n v="1704.89"/>
    <n v="767.20050000000003"/>
    <n v="0.45"/>
    <n v="11"/>
    <x v="0"/>
    <x v="2"/>
    <x v="6"/>
    <x v="6"/>
  </r>
  <r>
    <n v="3349"/>
    <s v="CA-2017-154732"/>
    <x v="15"/>
    <d v="2017-07-11T00:00:00"/>
    <n v="61"/>
    <s v="AH-10195"/>
    <s v="Alan Haines"/>
    <x v="1"/>
    <s v="First Class"/>
    <s v="United States"/>
    <s v="Illinois"/>
    <s v="Chicago"/>
    <x v="2"/>
    <s v="60623"/>
    <s v="OFF-BI-10000474"/>
    <x v="1"/>
    <x v="1"/>
    <s v="Avery Recycled Flexi-View Covers for Binding Systems"/>
    <n v="16.03"/>
    <n v="-25.648"/>
    <n v="-1.5999999999999999"/>
    <n v="5"/>
    <x v="2"/>
    <x v="2"/>
    <x v="1"/>
    <x v="1"/>
  </r>
  <r>
    <n v="3374"/>
    <s v="CA-2015-161718"/>
    <x v="192"/>
    <d v="2015-10-12T00:00:00"/>
    <n v="183"/>
    <s v="SO-20335"/>
    <s v="Sean O'Donnell"/>
    <x v="0"/>
    <s v="Standard Class"/>
    <s v="United States"/>
    <s v="New York"/>
    <s v="Hempstead"/>
    <x v="3"/>
    <s v="11550"/>
    <s v="FUR-FU-10002445"/>
    <x v="0"/>
    <x v="7"/>
    <s v="DAX Two-Tone Rosewood/Black Document Frame, Desktop, 5 x 7"/>
    <n v="28.44"/>
    <n v="11.375999999999999"/>
    <n v="0.39999999999999997"/>
    <n v="3"/>
    <x v="0"/>
    <x v="3"/>
    <x v="2"/>
    <x v="2"/>
  </r>
  <r>
    <n v="3378"/>
    <s v="CA-2016-100671"/>
    <x v="113"/>
    <d v="2016-04-11T00:00:00"/>
    <n v="91"/>
    <s v="CS-12490"/>
    <s v="Cindy Schnelling"/>
    <x v="1"/>
    <s v="First Class"/>
    <s v="United States"/>
    <s v="Texas"/>
    <s v="Conroe"/>
    <x v="2"/>
    <s v="77301"/>
    <s v="OFF-ST-10004950"/>
    <x v="1"/>
    <x v="6"/>
    <s v="Tenex Personal Filing Tote With Secure Closure Lid, Black/Frost"/>
    <n v="111.672"/>
    <n v="6.9794999999999998"/>
    <n v="6.25E-2"/>
    <n v="9"/>
    <x v="1"/>
    <x v="0"/>
    <x v="6"/>
    <x v="6"/>
  </r>
  <r>
    <n v="3395"/>
    <s v="US-2017-131583"/>
    <x v="193"/>
    <d v="2017-10-06T00:00:00"/>
    <n v="0"/>
    <s v="CL-11890"/>
    <s v="Carl Ludwig"/>
    <x v="0"/>
    <s v="Same Day"/>
    <s v="United States"/>
    <s v="Pennsylvania"/>
    <s v="Philadelphia"/>
    <x v="3"/>
    <s v="19143"/>
    <s v="OFF-PA-10000380"/>
    <x v="1"/>
    <x v="4"/>
    <s v="REDIFORM Incoming/Outgoing Call Register, 11&quot; X 8 1/2&quot;, 100 Messages"/>
    <n v="40.031999999999996"/>
    <n v="15.012"/>
    <n v="0.37500000000000006"/>
    <n v="6"/>
    <x v="1"/>
    <x v="2"/>
    <x v="10"/>
    <x v="10"/>
  </r>
  <r>
    <n v="3416"/>
    <s v="CA-2016-116540"/>
    <x v="114"/>
    <d v="2016-02-09T00:00:00"/>
    <n v="0"/>
    <s v="SS-20590"/>
    <s v="Sonia Sunley"/>
    <x v="0"/>
    <s v="Same Day"/>
    <s v="United States"/>
    <s v="Wisconsin"/>
    <s v="Madison"/>
    <x v="2"/>
    <s v="53711"/>
    <s v="OFF-FA-10002676"/>
    <x v="1"/>
    <x v="14"/>
    <s v="Colored Push Pins"/>
    <n v="1.81"/>
    <n v="0.65159999999999996"/>
    <n v="0.36"/>
    <n v="1"/>
    <x v="0"/>
    <x v="0"/>
    <x v="7"/>
    <x v="7"/>
  </r>
  <r>
    <n v="3428"/>
    <s v="US-2017-111024"/>
    <x v="99"/>
    <d v="2017-06-07T00:00:00"/>
    <n v="92"/>
    <s v="SZ-20035"/>
    <s v="Sam Zeldin"/>
    <x v="2"/>
    <s v="Second Class"/>
    <s v="United States"/>
    <s v="Ohio"/>
    <s v="Lancaster"/>
    <x v="3"/>
    <s v="43130"/>
    <s v="OFF-PA-10000174"/>
    <x v="1"/>
    <x v="4"/>
    <s v="Message Book, Wirebound, Four 5 1/2&quot; X 4&quot; Forms/Pg., 200 Dupl. Sets/Book"/>
    <n v="32.896000000000001"/>
    <n v="11.102399999999999"/>
    <n v="0.33749999999999997"/>
    <n v="4"/>
    <x v="1"/>
    <x v="2"/>
    <x v="4"/>
    <x v="4"/>
  </r>
  <r>
    <n v="3431"/>
    <s v="CA-2017-148264"/>
    <x v="39"/>
    <d v="2017-09-12T00:00:00"/>
    <n v="31"/>
    <s v="LF-17185"/>
    <s v="Luke Foster"/>
    <x v="0"/>
    <s v="First Class"/>
    <s v="United States"/>
    <s v="California"/>
    <s v="Inglewood"/>
    <x v="1"/>
    <s v="90301"/>
    <s v="OFF-ST-10003327"/>
    <x v="1"/>
    <x v="6"/>
    <s v="Akro-Mils 12-Gallon Tote"/>
    <n v="29.79"/>
    <n v="8.6390999999999991"/>
    <n v="0.28999999999999998"/>
    <n v="3"/>
    <x v="0"/>
    <x v="2"/>
    <x v="0"/>
    <x v="0"/>
  </r>
  <r>
    <n v="3434"/>
    <s v="CA-2017-131212"/>
    <x v="56"/>
    <d v="2017-09-12T00:00:00"/>
    <n v="123"/>
    <s v="AB-10165"/>
    <s v="Alan Barnes"/>
    <x v="0"/>
    <s v="Standard Class"/>
    <s v="United States"/>
    <s v="Washington"/>
    <s v="Bellevue"/>
    <x v="1"/>
    <s v="98006"/>
    <s v="OFF-BI-10001617"/>
    <x v="1"/>
    <x v="1"/>
    <s v="GBC Wire Binding Combs"/>
    <n v="24.815999999999999"/>
    <n v="8.3754000000000008"/>
    <n v="0.33750000000000002"/>
    <n v="3"/>
    <x v="1"/>
    <x v="2"/>
    <x v="1"/>
    <x v="1"/>
  </r>
  <r>
    <n v="3513"/>
    <s v="CA-2017-140326"/>
    <x v="194"/>
    <d v="2017-06-09T00:00:00"/>
    <n v="61"/>
    <s v="HW-14935"/>
    <s v="Helen Wasserman"/>
    <x v="1"/>
    <s v="First Class"/>
    <s v="United States"/>
    <s v="Illinois"/>
    <s v="Chicago"/>
    <x v="2"/>
    <s v="60653"/>
    <s v="FUR-BO-10000112"/>
    <x v="0"/>
    <x v="0"/>
    <s v="Bush Birmingham Collection Bookcase, Dark Cherry"/>
    <n v="825.17399999999998"/>
    <n v="-117.88200000000001"/>
    <n v="-0.14285714285714288"/>
    <n v="9"/>
    <x v="8"/>
    <x v="2"/>
    <x v="2"/>
    <x v="2"/>
  </r>
  <r>
    <n v="3517"/>
    <s v="US-2016-113649"/>
    <x v="195"/>
    <d v="2016-12-08T00:00:00"/>
    <n v="91"/>
    <s v="HA-14920"/>
    <s v="Helen Andreada"/>
    <x v="0"/>
    <s v="First Class"/>
    <s v="United States"/>
    <s v="North Carolina"/>
    <s v="Fayetteville"/>
    <x v="0"/>
    <s v="28314"/>
    <s v="OFF-PA-10000130"/>
    <x v="1"/>
    <x v="4"/>
    <s v="Xerox 199"/>
    <n v="30.815999999999999"/>
    <n v="9.6300000000000008"/>
    <n v="0.31250000000000006"/>
    <n v="9"/>
    <x v="1"/>
    <x v="0"/>
    <x v="3"/>
    <x v="3"/>
  </r>
  <r>
    <n v="3557"/>
    <s v="CA-2017-118542"/>
    <x v="24"/>
    <d v="2017-05-12T00:00:00"/>
    <n v="120"/>
    <s v="CC-12550"/>
    <s v="Clay Cheatham"/>
    <x v="0"/>
    <s v="Standard Class"/>
    <s v="United States"/>
    <s v="California"/>
    <s v="Los Angeles"/>
    <x v="1"/>
    <s v="90008"/>
    <s v="OFF-PA-10004735"/>
    <x v="1"/>
    <x v="4"/>
    <s v="Xerox 1905"/>
    <n v="45.36"/>
    <n v="21.7728"/>
    <n v="0.48"/>
    <n v="7"/>
    <x v="0"/>
    <x v="2"/>
    <x v="6"/>
    <x v="6"/>
  </r>
  <r>
    <n v="3559"/>
    <s v="CA-2017-152737"/>
    <x v="155"/>
    <d v="2017-12-11T00:00:00"/>
    <n v="153"/>
    <s v="TS-21505"/>
    <s v="Tony Sayre"/>
    <x v="0"/>
    <s v="Standard Class"/>
    <s v="United States"/>
    <s v="California"/>
    <s v="San Francisco"/>
    <x v="1"/>
    <s v="94122"/>
    <s v="OFF-BI-10002982"/>
    <x v="1"/>
    <x v="1"/>
    <s v="Avery Self-Adhesive Photo Pockets for Polaroid Photos"/>
    <n v="21.792000000000002"/>
    <n v="7.6272000000000002"/>
    <n v="0.35"/>
    <n v="4"/>
    <x v="1"/>
    <x v="2"/>
    <x v="9"/>
    <x v="9"/>
  </r>
  <r>
    <n v="3565"/>
    <s v="CA-2016-130029"/>
    <x v="196"/>
    <d v="2016-06-07T00:00:00"/>
    <n v="92"/>
    <s v="GT-14755"/>
    <s v="Guy Thornton"/>
    <x v="0"/>
    <s v="First Class"/>
    <s v="United States"/>
    <s v="California"/>
    <s v="Los Angeles"/>
    <x v="1"/>
    <s v="90049"/>
    <s v="OFF-PA-10000552"/>
    <x v="1"/>
    <x v="4"/>
    <s v="Xerox 200"/>
    <n v="12.96"/>
    <n v="6.2207999999999997"/>
    <n v="0.47999999999999993"/>
    <n v="2"/>
    <x v="0"/>
    <x v="0"/>
    <x v="4"/>
    <x v="4"/>
  </r>
  <r>
    <n v="3651"/>
    <s v="CA-2017-109960"/>
    <x v="5"/>
    <d v="2017-11-12T00:00:00"/>
    <n v="61"/>
    <s v="DB-13210"/>
    <s v="Dean Braden"/>
    <x v="0"/>
    <s v="Second Class"/>
    <s v="United States"/>
    <s v="Michigan"/>
    <s v="Detroit"/>
    <x v="2"/>
    <s v="48234"/>
    <s v="TEC-AC-10004859"/>
    <x v="2"/>
    <x v="11"/>
    <s v="Maxell Pro 80 Minute CD-R, 10/Pack"/>
    <n v="104.88"/>
    <n v="41.951999999999998"/>
    <n v="0.4"/>
    <n v="6"/>
    <x v="0"/>
    <x v="2"/>
    <x v="3"/>
    <x v="3"/>
  </r>
  <r>
    <n v="3663"/>
    <s v="US-2017-129777"/>
    <x v="99"/>
    <d v="2017-09-07T00:00:00"/>
    <n v="184"/>
    <s v="FM-14290"/>
    <s v="Frank Merwin"/>
    <x v="2"/>
    <s v="Standard Class"/>
    <s v="United States"/>
    <s v="Massachusetts"/>
    <s v="Quincy"/>
    <x v="3"/>
    <s v="2169"/>
    <s v="TEC-AC-10003590"/>
    <x v="2"/>
    <x v="11"/>
    <s v="TRENDnet 56K USB 2.0 Phone, Internet and Fax Modem"/>
    <n v="258.89999999999998"/>
    <n v="93.203999999999994"/>
    <n v="0.36"/>
    <n v="10"/>
    <x v="0"/>
    <x v="2"/>
    <x v="4"/>
    <x v="4"/>
  </r>
  <r>
    <n v="3727"/>
    <s v="CA-2016-165169"/>
    <x v="197"/>
    <d v="2016-11-06T00:00:00"/>
    <n v="184"/>
    <s v="JL-15235"/>
    <s v="Janet Lee"/>
    <x v="0"/>
    <s v="Standard Class"/>
    <s v="United States"/>
    <s v="Delaware"/>
    <s v="Newark"/>
    <x v="3"/>
    <s v="19711"/>
    <s v="OFF-ST-10001496"/>
    <x v="1"/>
    <x v="6"/>
    <s v="Standard Rollaway File with Lock"/>
    <n v="360.38"/>
    <n v="93.698800000000006"/>
    <n v="0.26"/>
    <n v="2"/>
    <x v="0"/>
    <x v="0"/>
    <x v="1"/>
    <x v="1"/>
  </r>
  <r>
    <n v="3735"/>
    <s v="CA-2017-168193"/>
    <x v="198"/>
    <d v="2017-11-03T00:00:00"/>
    <n v="153"/>
    <s v="RM-19750"/>
    <s v="Roland Murray"/>
    <x v="0"/>
    <s v="Second Class"/>
    <s v="United States"/>
    <s v="New York"/>
    <s v="New York City"/>
    <x v="3"/>
    <s v="10011"/>
    <s v="OFF-PA-10002254"/>
    <x v="1"/>
    <x v="4"/>
    <s v="Xerox 1883"/>
    <n v="26.38"/>
    <n v="12.1348"/>
    <n v="0.46"/>
    <n v="1"/>
    <x v="0"/>
    <x v="2"/>
    <x v="5"/>
    <x v="5"/>
  </r>
  <r>
    <n v="3773"/>
    <s v="CA-2014-115357"/>
    <x v="199"/>
    <d v="2014-11-08T00:00:00"/>
    <n v="153"/>
    <s v="RF-19735"/>
    <s v="Roland Fjeld"/>
    <x v="0"/>
    <s v="Second Class"/>
    <s v="United States"/>
    <s v="South Carolina"/>
    <s v="Columbia"/>
    <x v="0"/>
    <s v="29203"/>
    <s v="TEC-AC-10000023"/>
    <x v="2"/>
    <x v="11"/>
    <s v="Maxell 74 Minute CD-R Spindle, 50/Pack"/>
    <n v="62.91"/>
    <n v="22.647600000000001"/>
    <n v="0.36000000000000004"/>
    <n v="3"/>
    <x v="0"/>
    <x v="1"/>
    <x v="5"/>
    <x v="5"/>
  </r>
  <r>
    <n v="3813"/>
    <s v="CA-2017-147753"/>
    <x v="200"/>
    <d v="2017-05-03T00:00:00"/>
    <n v="0"/>
    <s v="PK-19075"/>
    <s v="Pete Kriz"/>
    <x v="0"/>
    <s v="Same Day"/>
    <s v="United States"/>
    <s v="Wisconsin"/>
    <s v="Milwaukee"/>
    <x v="2"/>
    <s v="53209"/>
    <s v="OFF-LA-10003537"/>
    <x v="1"/>
    <x v="10"/>
    <s v="Avery 515"/>
    <n v="25.06"/>
    <n v="11.7782"/>
    <n v="0.47000000000000003"/>
    <n v="2"/>
    <x v="0"/>
    <x v="2"/>
    <x v="1"/>
    <x v="1"/>
  </r>
  <r>
    <n v="3854"/>
    <s v="US-2017-131849"/>
    <x v="201"/>
    <d v="2017-10-06T00:00:00"/>
    <n v="122"/>
    <s v="GH-14410"/>
    <s v="Gary Hansen"/>
    <x v="2"/>
    <s v="Standard Class"/>
    <s v="United States"/>
    <s v="California"/>
    <s v="San Francisco"/>
    <x v="1"/>
    <s v="94122"/>
    <s v="FUR-FU-10004164"/>
    <x v="0"/>
    <x v="7"/>
    <s v="Eldon 300 Class Desk Accessories, Black"/>
    <n v="4.95"/>
    <n v="2.1779999999999999"/>
    <n v="0.43999999999999995"/>
    <n v="1"/>
    <x v="0"/>
    <x v="2"/>
    <x v="5"/>
    <x v="5"/>
  </r>
  <r>
    <n v="3862"/>
    <s v="CA-2014-135755"/>
    <x v="125"/>
    <d v="2014-10-05T00:00:00"/>
    <n v="214"/>
    <s v="NC-18415"/>
    <s v="Nathan Cano"/>
    <x v="0"/>
    <s v="Standard Class"/>
    <s v="United States"/>
    <s v="New York"/>
    <s v="Yonkers"/>
    <x v="3"/>
    <s v="10701"/>
    <s v="OFF-BI-10004828"/>
    <x v="1"/>
    <x v="1"/>
    <s v="GBC Poly Designer Binding Covers"/>
    <n v="40.176000000000002"/>
    <n v="14.563800000000001"/>
    <n v="0.36249999999999999"/>
    <n v="3"/>
    <x v="1"/>
    <x v="1"/>
    <x v="4"/>
    <x v="4"/>
  </r>
  <r>
    <n v="3887"/>
    <s v="CA-2016-167759"/>
    <x v="202"/>
    <d v="2016-08-03T00:00:00"/>
    <n v="153"/>
    <s v="CC-12670"/>
    <s v="Craig Carreira"/>
    <x v="0"/>
    <s v="Second Class"/>
    <s v="United States"/>
    <s v="Indiana"/>
    <s v="Bloomington"/>
    <x v="2"/>
    <s v="47401"/>
    <s v="TEC-PH-10003171"/>
    <x v="2"/>
    <x v="2"/>
    <s v="Plantronics Encore H101 Dual Earpieces Headset"/>
    <n v="134.85"/>
    <n v="37.758000000000003"/>
    <n v="0.28000000000000003"/>
    <n v="3"/>
    <x v="0"/>
    <x v="0"/>
    <x v="4"/>
    <x v="4"/>
  </r>
  <r>
    <n v="3888"/>
    <s v="CA-2014-100895"/>
    <x v="61"/>
    <d v="2014-06-06T00:00:00"/>
    <n v="120"/>
    <s v="SV-20785"/>
    <s v="Stewart Visinsky"/>
    <x v="0"/>
    <s v="Standard Class"/>
    <s v="United States"/>
    <s v="Georgia"/>
    <s v="Roswell"/>
    <x v="0"/>
    <s v="30076"/>
    <s v="OFF-AR-10004511"/>
    <x v="1"/>
    <x v="3"/>
    <s v="Sanford Colorific Scented Colored Pencils, 12/Pack"/>
    <n v="8.56"/>
    <n v="2.6536"/>
    <n v="0.31"/>
    <n v="2"/>
    <x v="0"/>
    <x v="1"/>
    <x v="7"/>
    <x v="7"/>
  </r>
  <r>
    <n v="3896"/>
    <s v="CA-2017-110212"/>
    <x v="203"/>
    <d v="2017-05-05T00:00:00"/>
    <n v="120"/>
    <s v="SJ-20125"/>
    <s v="Sanjit Jacobs"/>
    <x v="2"/>
    <s v="Standard Class"/>
    <s v="United States"/>
    <s v="Arkansas"/>
    <s v="Texarkana"/>
    <x v="0"/>
    <s v="71854"/>
    <s v="TEC-AC-10002331"/>
    <x v="2"/>
    <x v="11"/>
    <s v="Maxell 74 Minute CDR, 10/Pack"/>
    <n v="48.9"/>
    <n v="18.093"/>
    <n v="0.37"/>
    <n v="5"/>
    <x v="0"/>
    <x v="2"/>
    <x v="6"/>
    <x v="6"/>
  </r>
  <r>
    <n v="3900"/>
    <s v="CA-2017-157980"/>
    <x v="53"/>
    <d v="2017-09-12T00:00:00"/>
    <n v="62"/>
    <s v="SH-20395"/>
    <s v="Shahid Hopkins"/>
    <x v="0"/>
    <s v="First Class"/>
    <s v="United States"/>
    <s v="Ohio"/>
    <s v="Toledo"/>
    <x v="3"/>
    <s v="43615"/>
    <s v="TEC-AC-10002567"/>
    <x v="2"/>
    <x v="11"/>
    <s v="Logitech G602 Wireless Gaming Mouse"/>
    <n v="127.98399999999999"/>
    <n v="25.596800000000002"/>
    <n v="0.2"/>
    <n v="2"/>
    <x v="1"/>
    <x v="2"/>
    <x v="9"/>
    <x v="9"/>
  </r>
  <r>
    <n v="3912"/>
    <s v="CA-2017-126788"/>
    <x v="204"/>
    <d v="2017-06-06T00:00:00"/>
    <n v="31"/>
    <s v="AB-10105"/>
    <s v="Adrian Barton"/>
    <x v="0"/>
    <s v="First Class"/>
    <s v="United States"/>
    <s v="Texas"/>
    <s v="Pearland"/>
    <x v="2"/>
    <s v="77581"/>
    <s v="TEC-PH-10001619"/>
    <x v="2"/>
    <x v="2"/>
    <s v="LG G3"/>
    <n v="470.37599999999998"/>
    <n v="52.917299999999997"/>
    <n v="0.1125"/>
    <n v="3"/>
    <x v="1"/>
    <x v="2"/>
    <x v="1"/>
    <x v="1"/>
  </r>
  <r>
    <n v="3953"/>
    <s v="US-2016-151862"/>
    <x v="205"/>
    <d v="2016-08-03T00:00:00"/>
    <n v="213"/>
    <s v="ON-18715"/>
    <s v="Odella Nelson"/>
    <x v="1"/>
    <s v="Standard Class"/>
    <s v="United States"/>
    <s v="Colorado"/>
    <s v="Denver"/>
    <x v="1"/>
    <s v="80219"/>
    <s v="TEC-PH-10003535"/>
    <x v="2"/>
    <x v="2"/>
    <s v="RCA ViSYS 25423RE1 Corded phone"/>
    <n v="159.98400000000001"/>
    <n v="13.9986"/>
    <n v="8.7499999999999994E-2"/>
    <n v="2"/>
    <x v="1"/>
    <x v="0"/>
    <x v="6"/>
    <x v="6"/>
  </r>
  <r>
    <n v="3978"/>
    <s v="CA-2017-101308"/>
    <x v="65"/>
    <d v="2017-07-10T00:00:00"/>
    <n v="150"/>
    <s v="FG-14260"/>
    <s v="Frank Gastineau"/>
    <x v="2"/>
    <s v="Standard Class"/>
    <s v="United States"/>
    <s v="Washington"/>
    <s v="Seattle"/>
    <x v="1"/>
    <s v="98105"/>
    <s v="OFF-FA-10002780"/>
    <x v="1"/>
    <x v="14"/>
    <s v="Staples"/>
    <n v="8.94"/>
    <n v="4.1124000000000001"/>
    <n v="0.46"/>
    <n v="3"/>
    <x v="0"/>
    <x v="2"/>
    <x v="7"/>
    <x v="7"/>
  </r>
  <r>
    <n v="4010"/>
    <s v="CA-2017-144463"/>
    <x v="70"/>
    <d v="2017-05-01T00:00:00"/>
    <n v="120"/>
    <s v="SC-20725"/>
    <s v="Steven Cartwright"/>
    <x v="0"/>
    <s v="Standard Class"/>
    <s v="United States"/>
    <s v="California"/>
    <s v="Los Angeles"/>
    <x v="1"/>
    <s v="90036"/>
    <s v="FUR-FU-10001215"/>
    <x v="0"/>
    <x v="7"/>
    <s v="Howard Miller 11-1/2&quot; Diameter Brentwood Wall Clock"/>
    <n v="474.43"/>
    <n v="199.26060000000001"/>
    <n v="0.42000000000000004"/>
    <n v="11"/>
    <x v="0"/>
    <x v="2"/>
    <x v="6"/>
    <x v="6"/>
  </r>
  <r>
    <n v="4085"/>
    <s v="CA-2017-163692"/>
    <x v="47"/>
    <d v="2017-09-09T00:00:00"/>
    <n v="62"/>
    <s v="Dp-13240"/>
    <s v="Dean percer"/>
    <x v="2"/>
    <s v="First Class"/>
    <s v="United States"/>
    <s v="Arizona"/>
    <s v="Phoenix"/>
    <x v="1"/>
    <s v="85023"/>
    <s v="OFF-BI-10003291"/>
    <x v="1"/>
    <x v="1"/>
    <s v="Wilson Jones Leather-Like Binders with DublLock Round Rings"/>
    <n v="7.8570000000000002"/>
    <n v="-6.0236999999999998"/>
    <n v="-0.76666666666666661"/>
    <n v="3"/>
    <x v="3"/>
    <x v="2"/>
    <x v="9"/>
    <x v="9"/>
  </r>
  <r>
    <n v="4086"/>
    <s v="CA-2016-111913"/>
    <x v="176"/>
    <d v="2016-06-08T00:00:00"/>
    <n v="61"/>
    <s v="LC-16930"/>
    <s v="Linda Cazamias"/>
    <x v="1"/>
    <s v="Second Class"/>
    <s v="United States"/>
    <s v="California"/>
    <s v="Sacramento"/>
    <x v="1"/>
    <s v="95823"/>
    <s v="TEC-PH-10002275"/>
    <x v="2"/>
    <x v="2"/>
    <s v="Mitel 5320 IP Phone VoIP phone"/>
    <n v="302.38400000000001"/>
    <n v="30.238399999999999"/>
    <n v="9.9999999999999992E-2"/>
    <n v="2"/>
    <x v="1"/>
    <x v="0"/>
    <x v="2"/>
    <x v="2"/>
  </r>
  <r>
    <n v="4121"/>
    <s v="CA-2017-117394"/>
    <x v="194"/>
    <d v="2017-10-09T00:00:00"/>
    <n v="183"/>
    <s v="MM-17920"/>
    <s v="Michael Moore"/>
    <x v="0"/>
    <s v="Standard Class"/>
    <s v="United States"/>
    <s v="Pennsylvania"/>
    <s v="Philadelphia"/>
    <x v="3"/>
    <s v="19120"/>
    <s v="TEC-AC-10000199"/>
    <x v="2"/>
    <x v="11"/>
    <s v="Kingston Digital DataTraveler 8GB USB 2.0"/>
    <n v="19.04"/>
    <n v="-1.4279999999999999"/>
    <n v="-7.4999999999999997E-2"/>
    <n v="4"/>
    <x v="1"/>
    <x v="2"/>
    <x v="2"/>
    <x v="2"/>
  </r>
  <r>
    <n v="4127"/>
    <s v="CA-2017-156769"/>
    <x v="150"/>
    <d v="2017-09-05T00:00:00"/>
    <n v="92"/>
    <s v="GZ-14470"/>
    <s v="Gary Zandusky"/>
    <x v="0"/>
    <s v="First Class"/>
    <s v="United States"/>
    <s v="Virginia"/>
    <s v="Arlington"/>
    <x v="0"/>
    <s v="22204"/>
    <s v="OFF-AR-10003179"/>
    <x v="1"/>
    <x v="3"/>
    <s v="Dixon Ticonderoga Core-Lock Colored Pencils"/>
    <n v="54.66"/>
    <n v="18.037800000000001"/>
    <n v="0.33"/>
    <n v="6"/>
    <x v="0"/>
    <x v="2"/>
    <x v="5"/>
    <x v="5"/>
  </r>
  <r>
    <n v="4136"/>
    <s v="CA-2017-105914"/>
    <x v="65"/>
    <d v="2017-08-10T00:00:00"/>
    <n v="181"/>
    <s v="PV-18985"/>
    <s v="Paul Van Hugh"/>
    <x v="2"/>
    <s v="Standard Class"/>
    <s v="United States"/>
    <s v="California"/>
    <s v="Los Angeles"/>
    <x v="1"/>
    <s v="90036"/>
    <s v="OFF-BI-10002854"/>
    <x v="1"/>
    <x v="1"/>
    <s v="Performers Binder/Pad Holder, Black"/>
    <n v="112.12"/>
    <n v="42.045000000000002"/>
    <n v="0.375"/>
    <n v="5"/>
    <x v="1"/>
    <x v="2"/>
    <x v="7"/>
    <x v="7"/>
  </r>
  <r>
    <n v="4159"/>
    <s v="CA-2014-126907"/>
    <x v="68"/>
    <d v="2014-08-11T00:00:00"/>
    <n v="212"/>
    <s v="SM-20950"/>
    <s v="Suzanne McNair"/>
    <x v="1"/>
    <s v="Standard Class"/>
    <s v="United States"/>
    <s v="Illinois"/>
    <s v="Chicago"/>
    <x v="2"/>
    <s v="60610"/>
    <s v="OFF-PA-10000533"/>
    <x v="1"/>
    <x v="4"/>
    <s v="Southworth Parchment Paper &amp; Envelopes"/>
    <n v="15.696"/>
    <n v="5.1012000000000004"/>
    <n v="0.32500000000000001"/>
    <n v="3"/>
    <x v="1"/>
    <x v="1"/>
    <x v="6"/>
    <x v="6"/>
  </r>
  <r>
    <n v="4173"/>
    <s v="CA-2016-152163"/>
    <x v="206"/>
    <d v="2016-01-07T00:00:00"/>
    <n v="0"/>
    <s v="JF-15355"/>
    <s v="Jay Fein"/>
    <x v="0"/>
    <s v="Same Day"/>
    <s v="United States"/>
    <s v="South Carolina"/>
    <s v="Columbia"/>
    <x v="0"/>
    <s v="29203"/>
    <s v="OFF-BI-10002215"/>
    <x v="1"/>
    <x v="1"/>
    <s v="Wilson Jones Hanging View Binder, White, 1&quot;"/>
    <n v="14.2"/>
    <n v="6.532"/>
    <n v="0.46"/>
    <n v="2"/>
    <x v="0"/>
    <x v="0"/>
    <x v="6"/>
    <x v="6"/>
  </r>
  <r>
    <n v="4185"/>
    <s v="CA-2016-143749"/>
    <x v="1"/>
    <d v="2016-07-12T00:00:00"/>
    <n v="61"/>
    <s v="AG-10300"/>
    <s v="Aleksandra Gannaway"/>
    <x v="1"/>
    <s v="First Class"/>
    <s v="United States"/>
    <s v="Massachusetts"/>
    <s v="Franklin"/>
    <x v="3"/>
    <s v="2038"/>
    <s v="FUR-BO-10002853"/>
    <x v="0"/>
    <x v="0"/>
    <s v="O'Sullivan 5-Shelf Heavy-Duty Bookcases"/>
    <n v="81.94"/>
    <n v="20.484999999999999"/>
    <n v="0.25"/>
    <n v="1"/>
    <x v="0"/>
    <x v="0"/>
    <x v="1"/>
    <x v="1"/>
  </r>
  <r>
    <n v="4192"/>
    <s v="CA-2015-129392"/>
    <x v="207"/>
    <d v="2015-08-07T00:00:00"/>
    <n v="0"/>
    <s v="DM-13015"/>
    <s v="Darrin Martin"/>
    <x v="0"/>
    <s v="Same Day"/>
    <s v="United States"/>
    <s v="Texas"/>
    <s v="Houston"/>
    <x v="2"/>
    <s v="77070"/>
    <s v="OFF-PA-10004248"/>
    <x v="1"/>
    <x v="4"/>
    <s v="Xerox 1990"/>
    <n v="21.12"/>
    <n v="6.6"/>
    <n v="0.31249999999999994"/>
    <n v="5"/>
    <x v="1"/>
    <x v="3"/>
    <x v="0"/>
    <x v="0"/>
  </r>
  <r>
    <n v="4198"/>
    <s v="US-2016-161683"/>
    <x v="63"/>
    <d v="2016-08-12T00:00:00"/>
    <n v="153"/>
    <s v="CJ-12010"/>
    <s v="Caroline Jumper"/>
    <x v="0"/>
    <s v="Standard Class"/>
    <s v="United States"/>
    <s v="Pennsylvania"/>
    <s v="Philadelphia"/>
    <x v="3"/>
    <s v="19134"/>
    <s v="OFF-AP-10000179"/>
    <x v="1"/>
    <x v="8"/>
    <s v="Honeywell Enviracaire Portable HEPA Air Cleaner for up to 10 x 16 Room"/>
    <n v="394.81599999999997"/>
    <n v="93.768799999999999"/>
    <n v="0.23750000000000002"/>
    <n v="4"/>
    <x v="1"/>
    <x v="0"/>
    <x v="4"/>
    <x v="4"/>
  </r>
  <r>
    <n v="4215"/>
    <s v="CA-2016-164637"/>
    <x v="172"/>
    <d v="2016-08-03T00:00:00"/>
    <n v="122"/>
    <s v="RD-19480"/>
    <s v="Rick Duston"/>
    <x v="0"/>
    <s v="Standard Class"/>
    <s v="United States"/>
    <s v="Indiana"/>
    <s v="Mishawaka"/>
    <x v="2"/>
    <s v="46544"/>
    <s v="OFF-BI-10003876"/>
    <x v="1"/>
    <x v="1"/>
    <s v="Green Canvas Binder for 8-1/2&quot; x 14&quot; Sheets"/>
    <n v="128.4"/>
    <n v="64.2"/>
    <n v="0.5"/>
    <n v="3"/>
    <x v="0"/>
    <x v="0"/>
    <x v="2"/>
    <x v="2"/>
  </r>
  <r>
    <n v="4218"/>
    <s v="CA-2017-149881"/>
    <x v="173"/>
    <d v="2017-03-04T00:00:00"/>
    <n v="59"/>
    <s v="NC-18535"/>
    <s v="Nick Crebassa"/>
    <x v="1"/>
    <s v="First Class"/>
    <s v="United States"/>
    <s v="California"/>
    <s v="San Francisco"/>
    <x v="1"/>
    <s v="94110"/>
    <s v="FUR-BO-10003894"/>
    <x v="0"/>
    <x v="0"/>
    <s v="Safco Value Mate Steel Bookcase, Baked Enamel Finish on Steel, Black"/>
    <n v="482.66399999999999"/>
    <n v="85.176000000000002"/>
    <n v="0.17647058823529413"/>
    <n v="8"/>
    <x v="10"/>
    <x v="2"/>
    <x v="6"/>
    <x v="6"/>
  </r>
  <r>
    <n v="4243"/>
    <s v="CA-2016-159142"/>
    <x v="208"/>
    <d v="2016-05-04T00:00:00"/>
    <n v="30"/>
    <s v="ME-17320"/>
    <s v="Maria Etezadi"/>
    <x v="2"/>
    <s v="First Class"/>
    <s v="United States"/>
    <s v="Virginia"/>
    <s v="Springfield"/>
    <x v="0"/>
    <s v="22153"/>
    <s v="TEC-PH-10001448"/>
    <x v="2"/>
    <x v="2"/>
    <s v="Anker Astro 15000mAh USB Portable Charger"/>
    <n v="149.97"/>
    <n v="5.9988000000000001"/>
    <n v="0.04"/>
    <n v="3"/>
    <x v="0"/>
    <x v="0"/>
    <x v="2"/>
    <x v="2"/>
  </r>
  <r>
    <n v="4264"/>
    <s v="CA-2017-110429"/>
    <x v="32"/>
    <d v="2017-08-11T00:00:00"/>
    <n v="153"/>
    <s v="DM-13015"/>
    <s v="Darrin Martin"/>
    <x v="0"/>
    <s v="Standard Class"/>
    <s v="United States"/>
    <s v="Pennsylvania"/>
    <s v="Philadelphia"/>
    <x v="3"/>
    <s v="19143"/>
    <s v="OFF-BI-10000216"/>
    <x v="1"/>
    <x v="1"/>
    <s v="Mead 1st Gear 2&quot; Zipper Binder, Asst. Colors"/>
    <n v="11.673"/>
    <n v="-7.782"/>
    <n v="-0.66666666666666663"/>
    <n v="3"/>
    <x v="3"/>
    <x v="2"/>
    <x v="4"/>
    <x v="4"/>
  </r>
  <r>
    <n v="4314"/>
    <s v="CA-2014-123127"/>
    <x v="20"/>
    <d v="2014-12-09T00:00:00"/>
    <n v="122"/>
    <s v="SP-20620"/>
    <s v="Stefania Perrino"/>
    <x v="1"/>
    <s v="Standard Class"/>
    <s v="United States"/>
    <s v="New York"/>
    <s v="Long Beach"/>
    <x v="3"/>
    <s v="11561"/>
    <s v="OFF-AP-10001962"/>
    <x v="1"/>
    <x v="8"/>
    <s v="Black &amp; Decker Filter for Double Action Dustbuster Cordless Vac BLDV7210"/>
    <n v="16.78"/>
    <n v="4.1950000000000003"/>
    <n v="0.25"/>
    <n v="2"/>
    <x v="0"/>
    <x v="1"/>
    <x v="0"/>
    <x v="0"/>
  </r>
  <r>
    <n v="4319"/>
    <s v="US-2017-136189"/>
    <x v="53"/>
    <d v="2017-11-12T00:00:00"/>
    <n v="123"/>
    <s v="DC-13285"/>
    <s v="Debra Catini"/>
    <x v="0"/>
    <s v="Standard Class"/>
    <s v="United States"/>
    <s v="Virginia"/>
    <s v="Richmond"/>
    <x v="0"/>
    <s v="23223"/>
    <s v="FUR-FU-10000175"/>
    <x v="0"/>
    <x v="7"/>
    <s v="DAX Wood Document Frame."/>
    <n v="82.38"/>
    <n v="25.537800000000001"/>
    <n v="0.31000000000000005"/>
    <n v="6"/>
    <x v="0"/>
    <x v="2"/>
    <x v="9"/>
    <x v="9"/>
  </r>
  <r>
    <n v="4330"/>
    <s v="CA-2017-149853"/>
    <x v="146"/>
    <d v="2017-09-10T00:00:00"/>
    <n v="184"/>
    <s v="PO-18850"/>
    <s v="Patrick O'Brill"/>
    <x v="0"/>
    <s v="Standard Class"/>
    <s v="United States"/>
    <s v="Florida"/>
    <s v="Hialeah"/>
    <x v="0"/>
    <s v="33012"/>
    <s v="OFF-PA-10000556"/>
    <x v="1"/>
    <x v="4"/>
    <s v="Xerox 208"/>
    <n v="15.552"/>
    <n v="5.4432"/>
    <n v="0.35000000000000003"/>
    <n v="3"/>
    <x v="1"/>
    <x v="2"/>
    <x v="4"/>
    <x v="4"/>
  </r>
  <r>
    <n v="4353"/>
    <s v="CA-2017-107748"/>
    <x v="122"/>
    <d v="2017-12-12T00:00:00"/>
    <n v="61"/>
    <s v="AG-10330"/>
    <s v="Alex Grayson"/>
    <x v="0"/>
    <s v="Second Class"/>
    <s v="United States"/>
    <s v="California"/>
    <s v="Stockton"/>
    <x v="1"/>
    <s v="95207"/>
    <s v="TEC-PH-10003215"/>
    <x v="2"/>
    <x v="2"/>
    <s v="Jackery Bar Premium Fast-charging Portable Charger"/>
    <n v="95.84"/>
    <n v="34.741999999999997"/>
    <n v="0.36249999999999993"/>
    <n v="4"/>
    <x v="1"/>
    <x v="2"/>
    <x v="10"/>
    <x v="10"/>
  </r>
  <r>
    <n v="4471"/>
    <s v="CA-2017-156895"/>
    <x v="130"/>
    <d v="2017-12-05T00:00:00"/>
    <n v="122"/>
    <s v="DJ-13510"/>
    <s v="Don Jones"/>
    <x v="1"/>
    <s v="Standard Class"/>
    <s v="United States"/>
    <s v="Pennsylvania"/>
    <s v="Philadelphia"/>
    <x v="3"/>
    <s v="19140"/>
    <s v="FUR-CH-10003535"/>
    <x v="0"/>
    <x v="12"/>
    <s v="Global Armless Task Chair, Royal Blue"/>
    <n v="128.05799999999999"/>
    <n v="-23.7822"/>
    <n v="-0.18571428571428572"/>
    <n v="3"/>
    <x v="8"/>
    <x v="2"/>
    <x v="0"/>
    <x v="0"/>
  </r>
  <r>
    <n v="4481"/>
    <s v="CA-2016-109365"/>
    <x v="12"/>
    <d v="2016-08-11T00:00:00"/>
    <n v="153"/>
    <s v="XP-21865"/>
    <s v="Xylona Preis"/>
    <x v="0"/>
    <s v="Standard Class"/>
    <s v="United States"/>
    <s v="California"/>
    <s v="Los Angeles"/>
    <x v="1"/>
    <s v="90049"/>
    <s v="OFF-FA-10001561"/>
    <x v="1"/>
    <x v="14"/>
    <s v="Stockwell Push Pins"/>
    <n v="15.26"/>
    <n v="5.0358000000000001"/>
    <n v="0.33"/>
    <n v="7"/>
    <x v="0"/>
    <x v="0"/>
    <x v="4"/>
    <x v="4"/>
  </r>
  <r>
    <n v="4492"/>
    <s v="CA-2014-150798"/>
    <x v="139"/>
    <d v="2014-03-12T00:00:00"/>
    <n v="59"/>
    <s v="JK-15730"/>
    <s v="Joe Kamberova"/>
    <x v="0"/>
    <s v="Second Class"/>
    <s v="United States"/>
    <s v="Ohio"/>
    <s v="Columbus"/>
    <x v="3"/>
    <s v="43229"/>
    <s v="TEC-CO-10001571"/>
    <x v="2"/>
    <x v="16"/>
    <s v="Sharp 1540cs Digital Laser Copier"/>
    <n v="659.98800000000006"/>
    <n v="109.998"/>
    <n v="0.16666666666666666"/>
    <n v="2"/>
    <x v="4"/>
    <x v="1"/>
    <x v="6"/>
    <x v="6"/>
  </r>
  <r>
    <n v="4536"/>
    <s v="CA-2017-138464"/>
    <x v="34"/>
    <d v="2017-12-07T00:00:00"/>
    <n v="122"/>
    <s v="VF-21715"/>
    <s v="Vicky Freymann"/>
    <x v="2"/>
    <s v="Standard Class"/>
    <s v="United States"/>
    <s v="Washington"/>
    <s v="Seattle"/>
    <x v="1"/>
    <s v="98115"/>
    <s v="FUR-FU-10003142"/>
    <x v="0"/>
    <x v="7"/>
    <s v="Master Big Foot Doorstop, Beige"/>
    <n v="15.84"/>
    <n v="4.9104000000000001"/>
    <n v="0.31"/>
    <n v="3"/>
    <x v="0"/>
    <x v="2"/>
    <x v="0"/>
    <x v="0"/>
  </r>
  <r>
    <n v="4617"/>
    <s v="CA-2015-159863"/>
    <x v="209"/>
    <d v="2015-07-09T00:00:00"/>
    <n v="91"/>
    <s v="DS-13180"/>
    <s v="David Smith"/>
    <x v="1"/>
    <s v="Second Class"/>
    <s v="United States"/>
    <s v="Texas"/>
    <s v="Houston"/>
    <x v="2"/>
    <s v="77095"/>
    <s v="TEC-AC-10000109"/>
    <x v="2"/>
    <x v="11"/>
    <s v="Sony Micro Vault Click 16 GB USB 2.0 Flash Drive"/>
    <n v="134.376"/>
    <n v="6.7187999999999999"/>
    <n v="4.9999999999999996E-2"/>
    <n v="3"/>
    <x v="1"/>
    <x v="3"/>
    <x v="2"/>
    <x v="2"/>
  </r>
  <r>
    <n v="4657"/>
    <s v="CA-2015-112130"/>
    <x v="210"/>
    <d v="2015-07-05T00:00:00"/>
    <n v="122"/>
    <s v="SV-20785"/>
    <s v="Stewart Visinsky"/>
    <x v="0"/>
    <s v="Standard Class"/>
    <s v="United States"/>
    <s v="Pennsylvania"/>
    <s v="Philadelphia"/>
    <x v="3"/>
    <s v="19140"/>
    <s v="OFF-AR-10001468"/>
    <x v="1"/>
    <x v="3"/>
    <s v="Sanford Prismacolor Professional Thick Lead Art Pencils, 36-Color Set"/>
    <n v="59.904000000000003"/>
    <n v="14.2272"/>
    <n v="0.23749999999999999"/>
    <n v="2"/>
    <x v="1"/>
    <x v="3"/>
    <x v="4"/>
    <x v="4"/>
  </r>
  <r>
    <n v="4669"/>
    <s v="US-2017-133200"/>
    <x v="150"/>
    <d v="2017-11-05T00:00:00"/>
    <n v="153"/>
    <s v="DB-13555"/>
    <s v="Dorothy Badders"/>
    <x v="1"/>
    <s v="Standard Class"/>
    <s v="United States"/>
    <s v="Texas"/>
    <s v="Fort Worth"/>
    <x v="2"/>
    <s v="76106"/>
    <s v="OFF-BI-10002827"/>
    <x v="1"/>
    <x v="1"/>
    <s v="Avery Durable Poly Binders"/>
    <n v="11.06"/>
    <n v="-18.802"/>
    <n v="-1.7"/>
    <n v="10"/>
    <x v="2"/>
    <x v="2"/>
    <x v="5"/>
    <x v="5"/>
  </r>
  <r>
    <n v="4722"/>
    <s v="CA-2014-106229"/>
    <x v="37"/>
    <d v="2014-11-06T00:00:00"/>
    <n v="123"/>
    <s v="NR-18550"/>
    <s v="Nick Radford"/>
    <x v="0"/>
    <s v="Second Class"/>
    <s v="United States"/>
    <s v="Illinois"/>
    <s v="Aurora"/>
    <x v="2"/>
    <s v="60505"/>
    <s v="FUR-TA-10002041"/>
    <x v="0"/>
    <x v="9"/>
    <s v="Bevis Round Conference Table Top, X-Base"/>
    <n v="268.935"/>
    <n v="-209.76929999999999"/>
    <n v="-0.77999999999999992"/>
    <n v="3"/>
    <x v="5"/>
    <x v="1"/>
    <x v="9"/>
    <x v="9"/>
  </r>
  <r>
    <n v="4735"/>
    <s v="CA-2016-120530"/>
    <x v="66"/>
    <d v="2016-12-04T00:00:00"/>
    <n v="153"/>
    <s v="Dl-13600"/>
    <s v="Dorris liebe"/>
    <x v="1"/>
    <s v="Standard Class"/>
    <s v="United States"/>
    <s v="New York"/>
    <s v="New York City"/>
    <x v="3"/>
    <s v="10035"/>
    <s v="FUR-CH-10000454"/>
    <x v="0"/>
    <x v="12"/>
    <s v="Hon Deluxe Fabric Upholstered Stacking Chairs, Rounded Back"/>
    <n v="658.74599999999998"/>
    <n v="146.38800000000001"/>
    <n v="0.22222222222222224"/>
    <n v="3"/>
    <x v="7"/>
    <x v="0"/>
    <x v="9"/>
    <x v="9"/>
  </r>
  <r>
    <n v="4769"/>
    <s v="CA-2017-158883"/>
    <x v="102"/>
    <d v="2017-03-06T00:00:00"/>
    <n v="28"/>
    <s v="CS-11860"/>
    <s v="Cari Schnelling"/>
    <x v="0"/>
    <s v="Same Day"/>
    <s v="United States"/>
    <s v="North Carolina"/>
    <s v="Jacksonville"/>
    <x v="0"/>
    <s v="28540"/>
    <s v="OFF-PA-10004733"/>
    <x v="1"/>
    <x v="4"/>
    <s v="Things To Do Today Spiral Book"/>
    <n v="25.344000000000001"/>
    <n v="9.1872000000000007"/>
    <n v="0.36249999999999999"/>
    <n v="4"/>
    <x v="1"/>
    <x v="2"/>
    <x v="7"/>
    <x v="7"/>
  </r>
  <r>
    <n v="4821"/>
    <s v="CA-2015-140025"/>
    <x v="211"/>
    <d v="2015-11-04T00:00:00"/>
    <n v="123"/>
    <s v="PF-19120"/>
    <s v="Peter Fuller"/>
    <x v="0"/>
    <s v="Standard Class"/>
    <s v="United States"/>
    <s v="Texas"/>
    <s v="San Antonio"/>
    <x v="2"/>
    <s v="78207"/>
    <s v="OFF-AP-10002651"/>
    <x v="1"/>
    <x v="8"/>
    <s v="Hoover Upright Vacuum With Dirt Cup"/>
    <n v="463.24799999999999"/>
    <n v="-1181.2824000000001"/>
    <n v="-2.5500000000000003"/>
    <n v="8"/>
    <x v="2"/>
    <x v="3"/>
    <x v="9"/>
    <x v="9"/>
  </r>
  <r>
    <n v="4838"/>
    <s v="CA-2017-106831"/>
    <x v="164"/>
    <d v="2017-03-06T00:00:00"/>
    <n v="59"/>
    <s v="FH-14350"/>
    <s v="Fred Harton"/>
    <x v="0"/>
    <s v="First Class"/>
    <s v="United States"/>
    <s v="Ohio"/>
    <s v="Dublin"/>
    <x v="3"/>
    <s v="43017"/>
    <s v="OFF-BI-10003429"/>
    <x v="1"/>
    <x v="1"/>
    <s v="Cardinal HOLDit! Binder Insert Strips,Extra Strips"/>
    <n v="3.798"/>
    <n v="-2.6585999999999999"/>
    <n v="-0.7"/>
    <n v="2"/>
    <x v="3"/>
    <x v="2"/>
    <x v="6"/>
    <x v="6"/>
  </r>
  <r>
    <n v="4876"/>
    <s v="CA-2014-132864"/>
    <x v="212"/>
    <d v="2014-07-12T00:00:00"/>
    <n v="150"/>
    <s v="KN-16390"/>
    <s v="Katherine Nockton"/>
    <x v="1"/>
    <s v="Standard Class"/>
    <s v="United States"/>
    <s v="Ohio"/>
    <s v="Columbus"/>
    <x v="3"/>
    <s v="43229"/>
    <s v="TEC-AC-10001267"/>
    <x v="2"/>
    <x v="11"/>
    <s v="Imation 32GB Pocket Pro USB 3.0 Flash Drive - 32 GB - Black - 1 P ..."/>
    <n v="119.8"/>
    <n v="29.95"/>
    <n v="0.25"/>
    <n v="5"/>
    <x v="1"/>
    <x v="1"/>
    <x v="7"/>
    <x v="7"/>
  </r>
  <r>
    <n v="4880"/>
    <s v="CA-2017-143567"/>
    <x v="183"/>
    <d v="2017-05-11T00:00:00"/>
    <n v="89"/>
    <s v="TB-21175"/>
    <s v="Thomas Boland"/>
    <x v="1"/>
    <s v="Second Class"/>
    <s v="United States"/>
    <s v="Kentucky"/>
    <s v="Henderson"/>
    <x v="0"/>
    <s v="42420"/>
    <s v="OFF-EN-10004846"/>
    <x v="1"/>
    <x v="5"/>
    <s v="Letter or Legal Size Expandable Poly String Tie Envelopes"/>
    <n v="5.32"/>
    <n v="2.6067999999999998"/>
    <n v="0.48999999999999994"/>
    <n v="2"/>
    <x v="0"/>
    <x v="2"/>
    <x v="7"/>
    <x v="7"/>
  </r>
  <r>
    <n v="4953"/>
    <s v="CA-2017-117926"/>
    <x v="39"/>
    <d v="2017-12-12T00:00:00"/>
    <n v="122"/>
    <s v="AS-10225"/>
    <s v="Alan Schoenberger"/>
    <x v="1"/>
    <s v="Second Class"/>
    <s v="United States"/>
    <s v="California"/>
    <s v="San Francisco"/>
    <x v="1"/>
    <s v="94109"/>
    <s v="OFF-AP-10002670"/>
    <x v="1"/>
    <x v="8"/>
    <s v="Belkin 8-Outlet Premiere SurgeMaster II Surge Protectors"/>
    <n v="69.48"/>
    <n v="20.844000000000001"/>
    <n v="0.3"/>
    <n v="1"/>
    <x v="0"/>
    <x v="2"/>
    <x v="0"/>
    <x v="0"/>
  </r>
  <r>
    <n v="4986"/>
    <s v="CA-2014-125171"/>
    <x v="213"/>
    <d v="2014-03-09T00:00:00"/>
    <n v="0"/>
    <s v="AG-10390"/>
    <s v="Allen Goldenen"/>
    <x v="0"/>
    <s v="Same Day"/>
    <s v="United States"/>
    <s v="New York"/>
    <s v="New York City"/>
    <x v="3"/>
    <s v="10009"/>
    <s v="OFF-LA-10001175"/>
    <x v="1"/>
    <x v="10"/>
    <s v="Avery 514"/>
    <n v="14.4"/>
    <n v="7.056"/>
    <n v="0.49"/>
    <n v="5"/>
    <x v="0"/>
    <x v="1"/>
    <x v="4"/>
    <x v="4"/>
  </r>
  <r>
    <n v="5001"/>
    <s v="CA-2017-159688"/>
    <x v="214"/>
    <d v="2017-12-05T00:00:00"/>
    <n v="153"/>
    <s v="AB-10060"/>
    <s v="Adam Bellavance"/>
    <x v="2"/>
    <s v="Standard Class"/>
    <s v="United States"/>
    <s v="California"/>
    <s v="Los Angeles"/>
    <x v="1"/>
    <s v="90004"/>
    <s v="TEC-AC-10000736"/>
    <x v="2"/>
    <x v="11"/>
    <s v="Logitech G600 MMO Gaming Mouse"/>
    <n v="79.989999999999995"/>
    <n v="28.796399999999998"/>
    <n v="0.36"/>
    <n v="1"/>
    <x v="0"/>
    <x v="2"/>
    <x v="9"/>
    <x v="9"/>
  </r>
  <r>
    <n v="5004"/>
    <s v="CA-2016-155033"/>
    <x v="215"/>
    <d v="2016-12-10T00:00:00"/>
    <n v="153"/>
    <s v="CC-12475"/>
    <s v="Cindy Chapman"/>
    <x v="0"/>
    <s v="Standard Class"/>
    <s v="United States"/>
    <s v="California"/>
    <s v="Los Angeles"/>
    <x v="1"/>
    <s v="90032"/>
    <s v="OFF-PA-10000143"/>
    <x v="1"/>
    <x v="4"/>
    <s v="Astroparche Fine Business Paper"/>
    <n v="10.56"/>
    <n v="5.0688000000000004"/>
    <n v="0.48000000000000004"/>
    <n v="2"/>
    <x v="0"/>
    <x v="0"/>
    <x v="9"/>
    <x v="9"/>
  </r>
  <r>
    <n v="5052"/>
    <s v="CA-2015-134922"/>
    <x v="46"/>
    <d v="2015-11-11T00:00:00"/>
    <n v="123"/>
    <s v="KB-16240"/>
    <s v="Karen Bern"/>
    <x v="1"/>
    <s v="Standard Class"/>
    <s v="United States"/>
    <s v="Pennsylvania"/>
    <s v="Philadelphia"/>
    <x v="3"/>
    <s v="19140"/>
    <s v="OFF-EN-10000483"/>
    <x v="1"/>
    <x v="5"/>
    <s v="White Envelopes, White Envelopes with Clear Poly Window"/>
    <n v="24.4"/>
    <n v="7.93"/>
    <n v="0.32500000000000001"/>
    <n v="2"/>
    <x v="1"/>
    <x v="3"/>
    <x v="9"/>
    <x v="9"/>
  </r>
  <r>
    <n v="5057"/>
    <s v="CA-2015-162166"/>
    <x v="216"/>
    <d v="2015-11-09T00:00:00"/>
    <n v="92"/>
    <s v="NM-18520"/>
    <s v="Neoma Murray"/>
    <x v="0"/>
    <s v="First Class"/>
    <s v="United States"/>
    <s v="California"/>
    <s v="Moreno Valley"/>
    <x v="1"/>
    <s v="92553"/>
    <s v="OFF-PA-10002606"/>
    <x v="1"/>
    <x v="4"/>
    <s v="Xerox 1928"/>
    <n v="26.4"/>
    <n v="11.88"/>
    <n v="0.45000000000000007"/>
    <n v="5"/>
    <x v="0"/>
    <x v="3"/>
    <x v="0"/>
    <x v="0"/>
  </r>
  <r>
    <n v="5087"/>
    <s v="CA-2015-109001"/>
    <x v="144"/>
    <d v="2015-09-03T00:00:00"/>
    <n v="123"/>
    <s v="KN-16390"/>
    <s v="Katherine Nockton"/>
    <x v="1"/>
    <s v="Standard Class"/>
    <s v="United States"/>
    <s v="Pennsylvania"/>
    <s v="Philadelphia"/>
    <x v="3"/>
    <s v="19120"/>
    <s v="TEC-PH-10000562"/>
    <x v="2"/>
    <x v="2"/>
    <s v="Samsung Convoy 3"/>
    <n v="466.15800000000002"/>
    <n v="-93.2316"/>
    <n v="-0.19999999999999998"/>
    <n v="7"/>
    <x v="4"/>
    <x v="3"/>
    <x v="1"/>
    <x v="1"/>
  </r>
  <r>
    <n v="5090"/>
    <s v="CA-2017-132738"/>
    <x v="217"/>
    <d v="2017-07-08T00:00:00"/>
    <n v="91"/>
    <s v="HM-14860"/>
    <s v="Harry Marie"/>
    <x v="1"/>
    <s v="First Class"/>
    <s v="United States"/>
    <s v="Colorado"/>
    <s v="Loveland"/>
    <x v="1"/>
    <s v="80538"/>
    <s v="OFF-PA-10001752"/>
    <x v="1"/>
    <x v="4"/>
    <s v="Hammermill CopyPlus Copy Paper (20Lb. and 84 Bright)"/>
    <n v="7.968"/>
    <n v="2.8883999999999999"/>
    <n v="0.36249999999999999"/>
    <n v="2"/>
    <x v="1"/>
    <x v="2"/>
    <x v="2"/>
    <x v="2"/>
  </r>
  <r>
    <n v="5141"/>
    <s v="CA-2015-154886"/>
    <x v="218"/>
    <d v="2015-12-11T00:00:00"/>
    <n v="122"/>
    <s v="SW-20455"/>
    <s v="Shaun Weien"/>
    <x v="0"/>
    <s v="Standard Class"/>
    <s v="United States"/>
    <s v="California"/>
    <s v="San Francisco"/>
    <x v="1"/>
    <s v="94109"/>
    <s v="TEC-AC-10001956"/>
    <x v="2"/>
    <x v="11"/>
    <s v="Microsoft Arc Touch Mouse"/>
    <n v="119.9"/>
    <n v="43.164000000000001"/>
    <n v="0.36"/>
    <n v="2"/>
    <x v="0"/>
    <x v="3"/>
    <x v="0"/>
    <x v="0"/>
  </r>
  <r>
    <n v="5192"/>
    <s v="US-2017-141943"/>
    <x v="219"/>
    <d v="2017-09-05T00:00:00"/>
    <n v="123"/>
    <s v="DK-12985"/>
    <s v="Darren Koutras"/>
    <x v="0"/>
    <s v="Standard Class"/>
    <s v="United States"/>
    <s v="California"/>
    <s v="San Francisco"/>
    <x v="1"/>
    <s v="94122"/>
    <s v="OFF-EN-10003448"/>
    <x v="1"/>
    <x v="5"/>
    <s v="Peel &amp; Seel Recycled Catalog Envelopes, Brown"/>
    <n v="23.16"/>
    <n v="11.58"/>
    <n v="0.5"/>
    <n v="2"/>
    <x v="0"/>
    <x v="2"/>
    <x v="1"/>
    <x v="1"/>
  </r>
  <r>
    <n v="5199"/>
    <s v="CA-2016-103982"/>
    <x v="202"/>
    <d v="2016-08-03T00:00:00"/>
    <n v="153"/>
    <s v="AA-10315"/>
    <s v="Alex Avila"/>
    <x v="0"/>
    <s v="Standard Class"/>
    <s v="United States"/>
    <s v="Texas"/>
    <s v="Round Rock"/>
    <x v="2"/>
    <s v="78664"/>
    <s v="OFF-SU-10000151"/>
    <x v="1"/>
    <x v="15"/>
    <s v="High Speed Automatic Electric Letter Opener"/>
    <n v="3930.0720000000001"/>
    <n v="-786.01440000000002"/>
    <n v="-0.2"/>
    <n v="3"/>
    <x v="1"/>
    <x v="0"/>
    <x v="4"/>
    <x v="4"/>
  </r>
  <r>
    <n v="5245"/>
    <s v="CA-2016-156265"/>
    <x v="220"/>
    <d v="2016-04-08T00:00:00"/>
    <n v="60"/>
    <s v="BF-11020"/>
    <s v="Barry Französisch"/>
    <x v="1"/>
    <s v="Second Class"/>
    <s v="United States"/>
    <s v="California"/>
    <s v="Los Angeles"/>
    <x v="1"/>
    <s v="90032"/>
    <s v="FUR-TA-10001691"/>
    <x v="0"/>
    <x v="9"/>
    <s v="Barricks Non-Folding Utility Table with Steel Legs, Laminate Tops"/>
    <n v="136.464"/>
    <n v="15.3522"/>
    <n v="0.1125"/>
    <n v="2"/>
    <x v="1"/>
    <x v="0"/>
    <x v="7"/>
    <x v="7"/>
  </r>
  <r>
    <n v="5270"/>
    <s v="CA-2017-144484"/>
    <x v="51"/>
    <d v="2017-11-09T00:00:00"/>
    <n v="0"/>
    <s v="CB-12025"/>
    <s v="Cassandra Brandow"/>
    <x v="0"/>
    <s v="Same Day"/>
    <s v="United States"/>
    <s v="California"/>
    <s v="San Francisco"/>
    <x v="1"/>
    <s v="94110"/>
    <s v="FUR-FU-10000260"/>
    <x v="0"/>
    <x v="7"/>
    <s v="6&quot; Cubicle Wall Clock, Black"/>
    <n v="32.36"/>
    <n v="11.6496"/>
    <n v="0.36"/>
    <n v="4"/>
    <x v="0"/>
    <x v="2"/>
    <x v="8"/>
    <x v="8"/>
  </r>
  <r>
    <n v="5280"/>
    <s v="US-2017-104094"/>
    <x v="47"/>
    <d v="2017-11-09T00:00:00"/>
    <n v="123"/>
    <s v="AG-10675"/>
    <s v="Anna Gayman"/>
    <x v="0"/>
    <s v="Standard Class"/>
    <s v="United States"/>
    <s v="Wisconsin"/>
    <s v="Milwaukee"/>
    <x v="2"/>
    <s v="53209"/>
    <s v="TEC-AC-10002134"/>
    <x v="2"/>
    <x v="11"/>
    <s v="Rosewill 107 Normal Keys USB Wired Standard Keyboard"/>
    <n v="13.48"/>
    <n v="1.8872"/>
    <n v="0.13999999999999999"/>
    <n v="1"/>
    <x v="0"/>
    <x v="2"/>
    <x v="9"/>
    <x v="9"/>
  </r>
  <r>
    <n v="5282"/>
    <s v="CA-2015-105158"/>
    <x v="138"/>
    <d v="2015-10-09T00:00:00"/>
    <n v="153"/>
    <s v="SP-20860"/>
    <s v="Sung Pak"/>
    <x v="1"/>
    <s v="Standard Class"/>
    <s v="United States"/>
    <s v="Minnesota"/>
    <s v="Rochester"/>
    <x v="2"/>
    <s v="55901"/>
    <s v="FUR-FU-10001706"/>
    <x v="0"/>
    <x v="7"/>
    <s v="Longer-Life Soft White Bulbs"/>
    <n v="6.16"/>
    <n v="2.9567999999999999"/>
    <n v="0.48"/>
    <n v="2"/>
    <x v="0"/>
    <x v="3"/>
    <x v="1"/>
    <x v="1"/>
  </r>
  <r>
    <n v="5325"/>
    <s v="CA-2015-119508"/>
    <x v="192"/>
    <d v="2015-09-12T00:00:00"/>
    <n v="153"/>
    <s v="TZ-21580"/>
    <s v="Tracy Zic"/>
    <x v="0"/>
    <s v="Standard Class"/>
    <s v="United States"/>
    <s v="California"/>
    <s v="Lakewood"/>
    <x v="1"/>
    <s v="90712"/>
    <s v="OFF-AR-10003723"/>
    <x v="1"/>
    <x v="3"/>
    <s v="Avery Hi-Liter Fluorescent Desk Style Markers"/>
    <n v="16.899999999999999"/>
    <n v="6.2530000000000001"/>
    <n v="0.37000000000000005"/>
    <n v="5"/>
    <x v="0"/>
    <x v="3"/>
    <x v="2"/>
    <x v="2"/>
  </r>
  <r>
    <n v="5352"/>
    <s v="CA-2016-123932"/>
    <x v="10"/>
    <d v="2016-12-09T00:00:00"/>
    <n v="183"/>
    <s v="YC-21895"/>
    <s v="Yoseph Carroll"/>
    <x v="1"/>
    <s v="Standard Class"/>
    <s v="United States"/>
    <s v="Texas"/>
    <s v="Dallas"/>
    <x v="2"/>
    <s v="75217"/>
    <s v="OFF-PA-10004665"/>
    <x v="1"/>
    <x v="4"/>
    <s v="Advantus Motivational Note Cards"/>
    <n v="41.92"/>
    <n v="15.196"/>
    <n v="0.36249999999999999"/>
    <n v="4"/>
    <x v="1"/>
    <x v="0"/>
    <x v="5"/>
    <x v="5"/>
  </r>
  <r>
    <n v="5382"/>
    <s v="CA-2016-149195"/>
    <x v="17"/>
    <d v="2016-07-09T00:00:00"/>
    <n v="61"/>
    <s v="DM-13525"/>
    <s v="Don Miller"/>
    <x v="1"/>
    <s v="Second Class"/>
    <s v="United States"/>
    <s v="Texas"/>
    <s v="Houston"/>
    <x v="2"/>
    <s v="77070"/>
    <s v="OFF-PA-10001870"/>
    <x v="1"/>
    <x v="4"/>
    <s v="Xerox 202"/>
    <n v="25.92"/>
    <n v="9.0719999999999992"/>
    <n v="0.34999999999999992"/>
    <n v="5"/>
    <x v="1"/>
    <x v="0"/>
    <x v="1"/>
    <x v="1"/>
  </r>
  <r>
    <n v="5418"/>
    <s v="CA-2014-132542"/>
    <x v="45"/>
    <d v="2014-08-10T00:00:00"/>
    <n v="61"/>
    <s v="AM-10360"/>
    <s v="Alice McCarthy"/>
    <x v="1"/>
    <s v="Second Class"/>
    <s v="United States"/>
    <s v="Nebraska"/>
    <s v="Omaha"/>
    <x v="2"/>
    <s v="68104"/>
    <s v="OFF-BI-10004099"/>
    <x v="1"/>
    <x v="1"/>
    <s v="GBC VeloBinder Strips"/>
    <n v="15.36"/>
    <n v="7.68"/>
    <n v="0.5"/>
    <n v="2"/>
    <x v="0"/>
    <x v="1"/>
    <x v="5"/>
    <x v="5"/>
  </r>
  <r>
    <n v="5424"/>
    <s v="CA-2017-103009"/>
    <x v="32"/>
    <d v="2017-05-11T00:00:00"/>
    <n v="61"/>
    <s v="PJ-18835"/>
    <s v="Patrick Jones"/>
    <x v="1"/>
    <s v="Second Class"/>
    <s v="United States"/>
    <s v="Kentucky"/>
    <s v="Richmond"/>
    <x v="0"/>
    <s v="40475"/>
    <s v="OFF-PA-10001215"/>
    <x v="1"/>
    <x v="4"/>
    <s v="Xerox 1963"/>
    <n v="26.4"/>
    <n v="11.88"/>
    <n v="0.45000000000000007"/>
    <n v="5"/>
    <x v="0"/>
    <x v="2"/>
    <x v="4"/>
    <x v="4"/>
  </r>
  <r>
    <n v="5426"/>
    <s v="CA-2016-153598"/>
    <x v="63"/>
    <d v="2016-06-12T00:00:00"/>
    <n v="92"/>
    <s v="NM-18520"/>
    <s v="Neoma Murray"/>
    <x v="0"/>
    <s v="First Class"/>
    <s v="United States"/>
    <s v="California"/>
    <s v="Los Angeles"/>
    <x v="1"/>
    <s v="90045"/>
    <s v="TEC-AC-10003870"/>
    <x v="2"/>
    <x v="11"/>
    <s v="Logitech Z-906 Speaker sys - home theater - 5.1-CH"/>
    <n v="1649.95"/>
    <n v="659.98"/>
    <n v="0.4"/>
    <n v="5"/>
    <x v="0"/>
    <x v="0"/>
    <x v="4"/>
    <x v="4"/>
  </r>
  <r>
    <n v="5503"/>
    <s v="CA-2017-127782"/>
    <x v="183"/>
    <d v="2017-06-11T00:00:00"/>
    <n v="120"/>
    <s v="TH-21115"/>
    <s v="Thea Hudgings"/>
    <x v="1"/>
    <s v="Standard Class"/>
    <s v="United States"/>
    <s v="Pennsylvania"/>
    <s v="Philadelphia"/>
    <x v="3"/>
    <s v="19140"/>
    <s v="FUR-FU-10001847"/>
    <x v="0"/>
    <x v="7"/>
    <s v="Eldon Image Series Black Desk Accessories"/>
    <n v="3.3119999999999998"/>
    <n v="0.66239999999999999"/>
    <n v="0.2"/>
    <n v="1"/>
    <x v="1"/>
    <x v="2"/>
    <x v="7"/>
    <x v="7"/>
  </r>
  <r>
    <n v="5507"/>
    <s v="US-2016-162026"/>
    <x v="221"/>
    <d v="2016-08-10T00:00:00"/>
    <n v="0"/>
    <s v="JE-15745"/>
    <s v="Joel Eaton"/>
    <x v="0"/>
    <s v="Same Day"/>
    <s v="United States"/>
    <s v="California"/>
    <s v="Los Angeles"/>
    <x v="1"/>
    <s v="90036"/>
    <s v="OFF-PA-10000167"/>
    <x v="1"/>
    <x v="4"/>
    <s v="Xerox 1925"/>
    <n v="61.96"/>
    <n v="27.882000000000001"/>
    <n v="0.45"/>
    <n v="2"/>
    <x v="0"/>
    <x v="0"/>
    <x v="0"/>
    <x v="0"/>
  </r>
  <r>
    <n v="5547"/>
    <s v="CA-2017-151008"/>
    <x v="47"/>
    <d v="2017-08-09T00:00:00"/>
    <n v="31"/>
    <s v="JM-16195"/>
    <s v="Justin MacKendrick"/>
    <x v="0"/>
    <s v="First Class"/>
    <s v="United States"/>
    <s v="Utah"/>
    <s v="Draper"/>
    <x v="1"/>
    <s v="84020"/>
    <s v="FUR-FU-10002396"/>
    <x v="0"/>
    <x v="7"/>
    <s v="DAX Copper Panel Document Frame, 5 x 7 Size"/>
    <n v="25.16"/>
    <n v="10.5672"/>
    <n v="0.42"/>
    <n v="2"/>
    <x v="0"/>
    <x v="2"/>
    <x v="9"/>
    <x v="9"/>
  </r>
  <r>
    <n v="5556"/>
    <s v="CA-2017-116113"/>
    <x v="65"/>
    <d v="2017-06-10T00:00:00"/>
    <n v="120"/>
    <s v="JW-15220"/>
    <s v="Jane Waco"/>
    <x v="1"/>
    <s v="Second Class"/>
    <s v="United States"/>
    <s v="Alabama"/>
    <s v="Montgomery"/>
    <x v="0"/>
    <s v="36116"/>
    <s v="FUR-FU-10002963"/>
    <x v="0"/>
    <x v="7"/>
    <s v="Master Caster Door Stop, Gray"/>
    <n v="10.16"/>
    <n v="3.4544000000000001"/>
    <n v="0.34"/>
    <n v="2"/>
    <x v="0"/>
    <x v="2"/>
    <x v="7"/>
    <x v="7"/>
  </r>
  <r>
    <n v="5559"/>
    <s v="US-2015-114741"/>
    <x v="98"/>
    <d v="2015-10-12T00:00:00"/>
    <n v="122"/>
    <s v="IL-15100"/>
    <s v="Ivan Liston"/>
    <x v="0"/>
    <s v="Standard Class"/>
    <s v="United States"/>
    <s v="Nevada"/>
    <s v="North Las Vegas"/>
    <x v="1"/>
    <s v="89031"/>
    <s v="OFF-PA-10000048"/>
    <x v="1"/>
    <x v="4"/>
    <s v="Xerox 20"/>
    <n v="6.48"/>
    <n v="3.1103999999999998"/>
    <n v="0.47999999999999993"/>
    <n v="1"/>
    <x v="0"/>
    <x v="3"/>
    <x v="5"/>
    <x v="5"/>
  </r>
  <r>
    <n v="5600"/>
    <s v="CA-2014-108903"/>
    <x v="106"/>
    <d v="2014-03-10T00:00:00"/>
    <n v="0"/>
    <s v="DO-13435"/>
    <s v="Denny Ordway"/>
    <x v="0"/>
    <s v="Same Day"/>
    <s v="United States"/>
    <s v="Ohio"/>
    <s v="Columbus"/>
    <x v="3"/>
    <s v="43229"/>
    <s v="OFF-AR-10004010"/>
    <x v="1"/>
    <x v="3"/>
    <s v="Hunt Boston Vacuum Mount KS Pencil Sharpener"/>
    <n v="55.984000000000002"/>
    <n v="4.1988000000000003"/>
    <n v="7.4999999999999997E-2"/>
    <n v="2"/>
    <x v="1"/>
    <x v="1"/>
    <x v="4"/>
    <x v="4"/>
  </r>
  <r>
    <n v="5605"/>
    <s v="CA-2015-142475"/>
    <x v="36"/>
    <d v="2015-07-12T00:00:00"/>
    <n v="122"/>
    <s v="BS-11380"/>
    <s v="Bill Stewart"/>
    <x v="1"/>
    <s v="Standard Class"/>
    <s v="United States"/>
    <s v="New York"/>
    <s v="New York City"/>
    <x v="3"/>
    <s v="10011"/>
    <s v="OFF-BI-10003718"/>
    <x v="1"/>
    <x v="1"/>
    <s v="GBC Therma-A-Bind 250T Electric Binding System"/>
    <n v="590.35199999999998"/>
    <n v="206.6232"/>
    <n v="0.35000000000000003"/>
    <n v="6"/>
    <x v="1"/>
    <x v="3"/>
    <x v="4"/>
    <x v="4"/>
  </r>
  <r>
    <n v="5609"/>
    <s v="CA-2015-168634"/>
    <x v="98"/>
    <d v="2015-11-12T00:00:00"/>
    <n v="153"/>
    <s v="AF-10870"/>
    <s v="Art Ferguson"/>
    <x v="0"/>
    <s v="Standard Class"/>
    <s v="United States"/>
    <s v="California"/>
    <s v="San Francisco"/>
    <x v="1"/>
    <s v="94109"/>
    <s v="OFF-AP-10001626"/>
    <x v="1"/>
    <x v="8"/>
    <s v="Commercial WindTunnel Clean Air Upright Vacuum, Replacement Belts, Filtration Bags"/>
    <n v="7.78"/>
    <n v="2.0228000000000002"/>
    <n v="0.26"/>
    <n v="2"/>
    <x v="0"/>
    <x v="3"/>
    <x v="5"/>
    <x v="5"/>
  </r>
  <r>
    <n v="5614"/>
    <s v="CA-2016-147431"/>
    <x v="222"/>
    <d v="2016-07-02T00:00:00"/>
    <n v="151"/>
    <s v="AB-10105"/>
    <s v="Adrian Barton"/>
    <x v="0"/>
    <s v="Standard Class"/>
    <s v="United States"/>
    <s v="New York"/>
    <s v="New York City"/>
    <x v="3"/>
    <s v="10011"/>
    <s v="OFF-ST-10003994"/>
    <x v="1"/>
    <x v="6"/>
    <s v="Belkin 19&quot; Center-Weighted Shelf, Gray"/>
    <n v="117.96"/>
    <n v="5.8979999999999997"/>
    <n v="0.05"/>
    <n v="2"/>
    <x v="0"/>
    <x v="0"/>
    <x v="7"/>
    <x v="7"/>
  </r>
  <r>
    <n v="5643"/>
    <s v="CA-2016-127985"/>
    <x v="43"/>
    <d v="2016-05-04T00:00:00"/>
    <n v="121"/>
    <s v="DB-12910"/>
    <s v="Daniel Byrd"/>
    <x v="2"/>
    <s v="Second Class"/>
    <s v="United States"/>
    <s v="Georgia"/>
    <s v="Columbus"/>
    <x v="0"/>
    <s v="31907"/>
    <s v="FUR-FU-10003274"/>
    <x v="0"/>
    <x v="7"/>
    <s v="Regeneration Desk Collection"/>
    <n v="7.04"/>
    <n v="3.0975999999999999"/>
    <n v="0.44"/>
    <n v="4"/>
    <x v="0"/>
    <x v="0"/>
    <x v="6"/>
    <x v="6"/>
  </r>
  <r>
    <n v="5671"/>
    <s v="CA-2015-141012"/>
    <x v="223"/>
    <d v="2015-11-06T00:00:00"/>
    <n v="61"/>
    <s v="TG-21640"/>
    <s v="Trudy Glocke"/>
    <x v="0"/>
    <s v="Second Class"/>
    <s v="United States"/>
    <s v="Idaho"/>
    <s v="Pocatello"/>
    <x v="1"/>
    <s v="83201"/>
    <s v="FUR-FU-10003192"/>
    <x v="0"/>
    <x v="7"/>
    <s v="Luxo Adjustable Task Clamp Lamp"/>
    <n v="355.36"/>
    <n v="92.393600000000006"/>
    <n v="0.26"/>
    <n v="4"/>
    <x v="0"/>
    <x v="3"/>
    <x v="3"/>
    <x v="3"/>
  </r>
  <r>
    <n v="5686"/>
    <s v="CA-2015-131072"/>
    <x v="224"/>
    <d v="2015-05-11T00:00:00"/>
    <n v="0"/>
    <s v="KL-16645"/>
    <s v="Ken Lonsdale"/>
    <x v="0"/>
    <s v="Same Day"/>
    <s v="United States"/>
    <s v="Washington"/>
    <s v="Seattle"/>
    <x v="1"/>
    <s v="98105"/>
    <s v="OFF-BI-10002794"/>
    <x v="1"/>
    <x v="1"/>
    <s v="Avery Trapezoid Ring Binder, 3&quot; Capacity, Black, 1040 sheets"/>
    <n v="98.352000000000004"/>
    <n v="35.6526"/>
    <n v="0.36249999999999999"/>
    <n v="3"/>
    <x v="1"/>
    <x v="3"/>
    <x v="1"/>
    <x v="1"/>
  </r>
  <r>
    <n v="5706"/>
    <s v="CA-2014-155593"/>
    <x v="225"/>
    <d v="2014-08-11T00:00:00"/>
    <n v="153"/>
    <s v="RP-19390"/>
    <s v="Resi Pölking"/>
    <x v="0"/>
    <s v="Standard Class"/>
    <s v="United States"/>
    <s v="Connecticut"/>
    <s v="Fairfield"/>
    <x v="3"/>
    <s v="6824"/>
    <s v="OFF-SU-10002522"/>
    <x v="1"/>
    <x v="15"/>
    <s v="Acme Kleen Earth Office Shears"/>
    <n v="11.64"/>
    <n v="3.3755999999999999"/>
    <n v="0.28999999999999998"/>
    <n v="3"/>
    <x v="0"/>
    <x v="1"/>
    <x v="4"/>
    <x v="4"/>
  </r>
  <r>
    <n v="5714"/>
    <s v="US-2014-143707"/>
    <x v="226"/>
    <d v="2014-05-03T00:00:00"/>
    <n v="120"/>
    <s v="HR-14770"/>
    <s v="Hallie Redmond"/>
    <x v="2"/>
    <s v="Standard Class"/>
    <s v="United States"/>
    <s v="New York"/>
    <s v="New York City"/>
    <x v="3"/>
    <s v="10035"/>
    <s v="TEC-PH-10003655"/>
    <x v="2"/>
    <x v="2"/>
    <s v="Sannysis Cute Owl Design Soft Skin Case Cover for Samsung Galaxy S4"/>
    <n v="5.94"/>
    <n v="1.6037999999999999"/>
    <n v="0.26999999999999996"/>
    <n v="3"/>
    <x v="0"/>
    <x v="1"/>
    <x v="6"/>
    <x v="6"/>
  </r>
  <r>
    <n v="5781"/>
    <s v="US-2015-159513"/>
    <x v="180"/>
    <d v="2015-09-04T00:00:00"/>
    <n v="212"/>
    <s v="JD-15790"/>
    <s v="John Dryer"/>
    <x v="0"/>
    <s v="Standard Class"/>
    <s v="United States"/>
    <s v="California"/>
    <s v="Los Angeles"/>
    <x v="1"/>
    <s v="90049"/>
    <s v="TEC-MA-10003329"/>
    <x v="2"/>
    <x v="13"/>
    <s v="Vtech AT&amp;T CL2940 Corded Speakerphone, Black"/>
    <n v="71.975999999999999"/>
    <n v="24.291899999999998"/>
    <n v="0.33749999999999997"/>
    <n v="3"/>
    <x v="1"/>
    <x v="3"/>
    <x v="7"/>
    <x v="7"/>
  </r>
  <r>
    <n v="5810"/>
    <s v="CA-2016-125017"/>
    <x v="227"/>
    <d v="2016-11-02T00:00:00"/>
    <n v="153"/>
    <s v="KB-16240"/>
    <s v="Karen Bern"/>
    <x v="1"/>
    <s v="Standard Class"/>
    <s v="United States"/>
    <s v="Tennessee"/>
    <s v="Chattanooga"/>
    <x v="0"/>
    <s v="37421"/>
    <s v="FUR-FU-10000723"/>
    <x v="0"/>
    <x v="7"/>
    <s v="Deflect-o EconoMat Studded, No Bevel Mat for Low Pile Carpeting"/>
    <n v="132.22399999999999"/>
    <n v="-18.180800000000001"/>
    <n v="-0.13750000000000001"/>
    <n v="4"/>
    <x v="1"/>
    <x v="0"/>
    <x v="5"/>
    <x v="5"/>
  </r>
  <r>
    <n v="5826"/>
    <s v="CA-2017-161067"/>
    <x v="48"/>
    <d v="2017-06-09T00:00:00"/>
    <n v="92"/>
    <s v="KB-16405"/>
    <s v="Katrina Bavinger"/>
    <x v="2"/>
    <s v="Second Class"/>
    <s v="United States"/>
    <s v="New York"/>
    <s v="New York City"/>
    <x v="3"/>
    <s v="10035"/>
    <s v="OFF-PA-10000418"/>
    <x v="1"/>
    <x v="4"/>
    <s v="Xerox 189"/>
    <n v="419.4"/>
    <n v="201.31200000000001"/>
    <n v="0.48000000000000004"/>
    <n v="4"/>
    <x v="0"/>
    <x v="2"/>
    <x v="4"/>
    <x v="4"/>
  </r>
  <r>
    <n v="5862"/>
    <s v="CA-2016-101525"/>
    <x v="228"/>
    <d v="2016-04-05T00:00:00"/>
    <n v="91"/>
    <s v="CM-12235"/>
    <s v="Chris McAfee"/>
    <x v="0"/>
    <s v="Second Class"/>
    <s v="United States"/>
    <s v="Arkansas"/>
    <s v="Little Rock"/>
    <x v="0"/>
    <s v="72209"/>
    <s v="OFF-PA-10001497"/>
    <x v="1"/>
    <x v="4"/>
    <s v="Xerox 1914"/>
    <n v="109.92"/>
    <n v="53.860799999999998"/>
    <n v="0.49"/>
    <n v="2"/>
    <x v="0"/>
    <x v="0"/>
    <x v="6"/>
    <x v="6"/>
  </r>
  <r>
    <n v="5865"/>
    <s v="US-2014-117968"/>
    <x v="21"/>
    <d v="2014-07-08T00:00:00"/>
    <n v="61"/>
    <s v="RS-19420"/>
    <s v="Ricardo Sperren"/>
    <x v="1"/>
    <s v="Second Class"/>
    <s v="United States"/>
    <s v="Connecticut"/>
    <s v="Meriden"/>
    <x v="3"/>
    <s v="6450"/>
    <s v="OFF-AP-10002765"/>
    <x v="1"/>
    <x v="8"/>
    <s v="Fellowes Advanced Computer Series Surge Protectors"/>
    <n v="79.47"/>
    <n v="22.2516"/>
    <n v="0.28000000000000003"/>
    <n v="3"/>
    <x v="0"/>
    <x v="1"/>
    <x v="1"/>
    <x v="1"/>
  </r>
  <r>
    <n v="5880"/>
    <s v="CA-2016-133319"/>
    <x v="17"/>
    <d v="2016-11-09T00:00:00"/>
    <n v="184"/>
    <s v="MV-17485"/>
    <s v="Mark Van Huff"/>
    <x v="0"/>
    <s v="Standard Class"/>
    <s v="United States"/>
    <s v="New York"/>
    <s v="New York City"/>
    <x v="3"/>
    <s v="10011"/>
    <s v="OFF-PA-10001815"/>
    <x v="1"/>
    <x v="4"/>
    <s v="Xerox 1885"/>
    <n v="192.16"/>
    <n v="92.236800000000002"/>
    <n v="0.48000000000000004"/>
    <n v="4"/>
    <x v="0"/>
    <x v="0"/>
    <x v="1"/>
    <x v="1"/>
  </r>
  <r>
    <n v="5889"/>
    <s v="CA-2015-147879"/>
    <x v="229"/>
    <d v="2015-12-05T00:00:00"/>
    <n v="153"/>
    <s v="CC-12220"/>
    <s v="Chris Cortes"/>
    <x v="0"/>
    <s v="Standard Class"/>
    <s v="United States"/>
    <s v="Kentucky"/>
    <s v="Owensboro"/>
    <x v="0"/>
    <s v="42301"/>
    <s v="OFF-PA-10001952"/>
    <x v="1"/>
    <x v="4"/>
    <s v="Xerox 1902"/>
    <n v="45.68"/>
    <n v="21.012799999999999"/>
    <n v="0.45999999999999996"/>
    <n v="2"/>
    <x v="0"/>
    <x v="3"/>
    <x v="9"/>
    <x v="9"/>
  </r>
  <r>
    <n v="5898"/>
    <s v="CA-2016-167682"/>
    <x v="230"/>
    <d v="2016-09-04T00:00:00"/>
    <n v="184"/>
    <s v="ZD-21925"/>
    <s v="Zuschuss Donatelli"/>
    <x v="0"/>
    <s v="Standard Class"/>
    <s v="United States"/>
    <s v="Indiana"/>
    <s v="Richmond"/>
    <x v="2"/>
    <s v="47374"/>
    <s v="FUR-FU-10003799"/>
    <x v="0"/>
    <x v="7"/>
    <s v="Seth Thomas 13 1/2&quot; Wall Clock"/>
    <n v="71.12"/>
    <n v="22.0472"/>
    <n v="0.31"/>
    <n v="4"/>
    <x v="0"/>
    <x v="0"/>
    <x v="4"/>
    <x v="4"/>
  </r>
  <r>
    <n v="5930"/>
    <s v="US-2017-169551"/>
    <x v="166"/>
    <d v="2017-09-07T00:00:00"/>
    <n v="62"/>
    <s v="RL-19615"/>
    <s v="Rob Lucas"/>
    <x v="0"/>
    <s v="First Class"/>
    <s v="United States"/>
    <s v="Pennsylvania"/>
    <s v="Philadelphia"/>
    <x v="3"/>
    <s v="19120"/>
    <s v="FUR-BO-10001519"/>
    <x v="0"/>
    <x v="0"/>
    <s v="O'Sullivan 3-Shelf Heavy-Duty Bookcases"/>
    <n v="87.21"/>
    <n v="-45.349200000000003"/>
    <n v="-0.52000000000000013"/>
    <n v="3"/>
    <x v="5"/>
    <x v="2"/>
    <x v="9"/>
    <x v="9"/>
  </r>
  <r>
    <n v="6016"/>
    <s v="CA-2014-102652"/>
    <x v="73"/>
    <d v="2014-12-04T00:00:00"/>
    <n v="183"/>
    <s v="AY-10555"/>
    <s v="Andy Yotov"/>
    <x v="1"/>
    <s v="Standard Class"/>
    <s v="United States"/>
    <s v="California"/>
    <s v="Los Angeles"/>
    <x v="1"/>
    <s v="90049"/>
    <s v="FUR-FU-10000747"/>
    <x v="0"/>
    <x v="7"/>
    <s v="Tenex B1-RE Series Chair Mats for Low Pile Carpets"/>
    <n v="91.96"/>
    <n v="15.6332"/>
    <n v="0.17"/>
    <n v="2"/>
    <x v="0"/>
    <x v="1"/>
    <x v="5"/>
    <x v="5"/>
  </r>
  <r>
    <n v="6031"/>
    <s v="US-2017-152492"/>
    <x v="231"/>
    <d v="2017-06-07T00:00:00"/>
    <n v="0"/>
    <s v="AH-10585"/>
    <s v="Angele Hood"/>
    <x v="0"/>
    <s v="Same Day"/>
    <s v="United States"/>
    <s v="Florida"/>
    <s v="Miami"/>
    <x v="0"/>
    <s v="33142"/>
    <s v="FUR-CH-10000155"/>
    <x v="0"/>
    <x v="12"/>
    <s v="Global Comet Stacking Armless Chair"/>
    <n v="239.24"/>
    <n v="23.923999999999999"/>
    <n v="9.9999999999999992E-2"/>
    <n v="1"/>
    <x v="1"/>
    <x v="2"/>
    <x v="5"/>
    <x v="5"/>
  </r>
  <r>
    <n v="6043"/>
    <s v="CA-2016-117912"/>
    <x v="232"/>
    <d v="2016-08-02T00:00:00"/>
    <n v="122"/>
    <s v="TB-21520"/>
    <s v="Tracy Blumstein"/>
    <x v="0"/>
    <s v="Standard Class"/>
    <s v="United States"/>
    <s v="Arizona"/>
    <s v="Sierra Vista"/>
    <x v="1"/>
    <s v="85635"/>
    <s v="FUR-FU-10002088"/>
    <x v="0"/>
    <x v="7"/>
    <s v="Nu-Dell Float Frame 11 x 14 1/2"/>
    <n v="14.368"/>
    <n v="3.9512"/>
    <n v="0.27500000000000002"/>
    <n v="2"/>
    <x v="1"/>
    <x v="0"/>
    <x v="2"/>
    <x v="2"/>
  </r>
  <r>
    <n v="6081"/>
    <s v="CA-2017-154676"/>
    <x v="115"/>
    <d v="2017-08-08T00:00:00"/>
    <n v="92"/>
    <s v="NZ-18565"/>
    <s v="Nick Zandusky"/>
    <x v="2"/>
    <s v="First Class"/>
    <s v="United States"/>
    <s v="Texas"/>
    <s v="Houston"/>
    <x v="2"/>
    <s v="77070"/>
    <s v="OFF-ST-10001172"/>
    <x v="1"/>
    <x v="6"/>
    <s v="Tennsco Lockers, Sand"/>
    <n v="151.05600000000001"/>
    <n v="7.5528000000000004"/>
    <n v="4.9999999999999996E-2"/>
    <n v="9"/>
    <x v="1"/>
    <x v="2"/>
    <x v="1"/>
    <x v="1"/>
  </r>
  <r>
    <n v="6151"/>
    <s v="US-2016-106600"/>
    <x v="78"/>
    <d v="2016-11-04T00:00:00"/>
    <n v="92"/>
    <s v="RM-19375"/>
    <s v="Raymond Messe"/>
    <x v="0"/>
    <s v="First Class"/>
    <s v="United States"/>
    <s v="Georgia"/>
    <s v="Columbus"/>
    <x v="0"/>
    <s v="31907"/>
    <s v="FUR-BO-10001608"/>
    <x v="0"/>
    <x v="0"/>
    <s v="Hon Metal Bookcases, Black"/>
    <n v="354.9"/>
    <n v="88.724999999999994"/>
    <n v="0.25"/>
    <n v="5"/>
    <x v="0"/>
    <x v="0"/>
    <x v="0"/>
    <x v="0"/>
  </r>
  <r>
    <n v="6153"/>
    <s v="CA-2017-139437"/>
    <x v="99"/>
    <d v="2017-08-07T00:00:00"/>
    <n v="153"/>
    <s v="RD-19585"/>
    <s v="Rob Dowd"/>
    <x v="0"/>
    <s v="Standard Class"/>
    <s v="United States"/>
    <s v="California"/>
    <s v="Los Angeles"/>
    <x v="1"/>
    <s v="90004"/>
    <s v="OFF-ST-10002485"/>
    <x v="1"/>
    <x v="6"/>
    <s v="Rogers Deluxe File Chest"/>
    <n v="87.92"/>
    <n v="0.87919999999999998"/>
    <n v="0.01"/>
    <n v="4"/>
    <x v="0"/>
    <x v="2"/>
    <x v="4"/>
    <x v="4"/>
  </r>
  <r>
    <n v="6160"/>
    <s v="CA-2016-161025"/>
    <x v="63"/>
    <d v="2016-09-12T00:00:00"/>
    <n v="184"/>
    <s v="GM-14440"/>
    <s v="Gary McGarr"/>
    <x v="0"/>
    <s v="Standard Class"/>
    <s v="United States"/>
    <s v="California"/>
    <s v="Los Angeles"/>
    <x v="1"/>
    <s v="90049"/>
    <s v="OFF-ST-10001932"/>
    <x v="1"/>
    <x v="6"/>
    <s v="Fellowes Staxonsteel Drawer Files"/>
    <n v="772.68"/>
    <n v="108.1752"/>
    <n v="0.14000000000000001"/>
    <n v="4"/>
    <x v="0"/>
    <x v="0"/>
    <x v="4"/>
    <x v="4"/>
  </r>
  <r>
    <n v="6173"/>
    <s v="US-2014-106299"/>
    <x v="233"/>
    <d v="2014-08-08T00:00:00"/>
    <n v="181"/>
    <s v="NZ-18565"/>
    <s v="Nick Zandusky"/>
    <x v="2"/>
    <s v="Standard Class"/>
    <s v="United States"/>
    <s v="Missouri"/>
    <s v="Springfield"/>
    <x v="2"/>
    <s v="65807"/>
    <s v="OFF-BI-10001758"/>
    <x v="1"/>
    <x v="1"/>
    <s v="Wilson Jones 14 Line Acrylic Coated Pressboard Data Binders"/>
    <n v="26.7"/>
    <n v="12.548999999999999"/>
    <n v="0.47"/>
    <n v="5"/>
    <x v="0"/>
    <x v="1"/>
    <x v="7"/>
    <x v="7"/>
  </r>
  <r>
    <n v="6226"/>
    <s v="CA-2015-133445"/>
    <x v="80"/>
    <d v="2015-09-10T00:00:00"/>
    <n v="123"/>
    <s v="JF-15490"/>
    <s v="Jeremy Farry"/>
    <x v="0"/>
    <s v="Standard Class"/>
    <s v="United States"/>
    <s v="Oregon"/>
    <s v="Portland"/>
    <x v="1"/>
    <s v="97206"/>
    <s v="FUR-BO-10003660"/>
    <x v="0"/>
    <x v="0"/>
    <s v="Bush Cubix Collection Bookcases, Fully Assembled"/>
    <n v="66.293999999999997"/>
    <n v="-103.86060000000001"/>
    <n v="-1.5666666666666669"/>
    <n v="1"/>
    <x v="3"/>
    <x v="3"/>
    <x v="1"/>
    <x v="1"/>
  </r>
  <r>
    <n v="6258"/>
    <s v="CA-2017-141425"/>
    <x v="183"/>
    <d v="2017-06-11T00:00:00"/>
    <n v="120"/>
    <s v="AR-10825"/>
    <s v="Anthony Rawles"/>
    <x v="1"/>
    <s v="Second Class"/>
    <s v="United States"/>
    <s v="Ohio"/>
    <s v="Columbus"/>
    <x v="3"/>
    <s v="43229"/>
    <s v="OFF-SU-10000646"/>
    <x v="1"/>
    <x v="15"/>
    <s v="Premier Automatic Letter Opener"/>
    <n v="384.59199999999998"/>
    <n v="-81.725800000000007"/>
    <n v="-0.21250000000000002"/>
    <n v="2"/>
    <x v="1"/>
    <x v="2"/>
    <x v="7"/>
    <x v="7"/>
  </r>
  <r>
    <n v="6266"/>
    <s v="CA-2014-146731"/>
    <x v="225"/>
    <d v="2014-08-11T00:00:00"/>
    <n v="153"/>
    <s v="AT-10735"/>
    <s v="Annie Thurman"/>
    <x v="0"/>
    <s v="Standard Class"/>
    <s v="United States"/>
    <s v="Tennessee"/>
    <s v="Nashville"/>
    <x v="0"/>
    <s v="37211"/>
    <s v="OFF-PA-10000141"/>
    <x v="1"/>
    <x v="4"/>
    <s v="Ampad Evidence Wirebond Steno Books, 6&quot; x 9&quot;"/>
    <n v="3.488"/>
    <n v="1.1772"/>
    <n v="0.33750000000000002"/>
    <n v="2"/>
    <x v="1"/>
    <x v="1"/>
    <x v="4"/>
    <x v="4"/>
  </r>
  <r>
    <n v="6288"/>
    <s v="CA-2014-100090"/>
    <x v="234"/>
    <d v="2014-12-07T00:00:00"/>
    <n v="122"/>
    <s v="EB-13705"/>
    <s v="Ed Braxton"/>
    <x v="1"/>
    <s v="Standard Class"/>
    <s v="United States"/>
    <s v="California"/>
    <s v="San Francisco"/>
    <x v="1"/>
    <s v="94122"/>
    <s v="FUR-TA-10003715"/>
    <x v="0"/>
    <x v="9"/>
    <s v="Hon 2111 Invitation Series Corner Table"/>
    <n v="502.488"/>
    <n v="-87.935400000000001"/>
    <n v="-0.17500000000000002"/>
    <n v="3"/>
    <x v="1"/>
    <x v="1"/>
    <x v="0"/>
    <x v="0"/>
  </r>
  <r>
    <n v="6306"/>
    <s v="CA-2016-163328"/>
    <x v="59"/>
    <d v="2016-06-11T00:00:00"/>
    <n v="61"/>
    <s v="TP-21565"/>
    <s v="Tracy Poddar"/>
    <x v="1"/>
    <s v="Second Class"/>
    <s v="United States"/>
    <s v="Oregon"/>
    <s v="Eugene"/>
    <x v="1"/>
    <s v="97405"/>
    <s v="OFF-SU-10002301"/>
    <x v="1"/>
    <x v="15"/>
    <s v="Serrated Blade or Curved Handle Hand Letter Openers"/>
    <n v="17.584"/>
    <n v="-4.1761999999999997"/>
    <n v="-0.23749999999999999"/>
    <n v="7"/>
    <x v="1"/>
    <x v="0"/>
    <x v="2"/>
    <x v="2"/>
  </r>
  <r>
    <n v="6339"/>
    <s v="CA-2017-143112"/>
    <x v="235"/>
    <d v="2017-09-10T00:00:00"/>
    <n v="123"/>
    <s v="TS-21370"/>
    <s v="Todd Sumrall"/>
    <x v="1"/>
    <s v="Standard Class"/>
    <s v="United States"/>
    <s v="New York"/>
    <s v="New York City"/>
    <x v="3"/>
    <s v="10035"/>
    <s v="TEC-PH-10003095"/>
    <x v="2"/>
    <x v="2"/>
    <s v="Samsung HM1900 Bluetooth Headset"/>
    <n v="87.8"/>
    <n v="43.9"/>
    <n v="0.5"/>
    <n v="4"/>
    <x v="0"/>
    <x v="2"/>
    <x v="1"/>
    <x v="1"/>
  </r>
  <r>
    <n v="6351"/>
    <s v="CA-2017-161557"/>
    <x v="48"/>
    <d v="2017-08-09T00:00:00"/>
    <n v="153"/>
    <s v="AG-10900"/>
    <s v="Arthur Gainer"/>
    <x v="0"/>
    <s v="Standard Class"/>
    <s v="United States"/>
    <s v="Texas"/>
    <s v="Dallas"/>
    <x v="2"/>
    <s v="75217"/>
    <s v="FUR-FU-10004622"/>
    <x v="0"/>
    <x v="7"/>
    <s v="Eldon Advantage Foldable Chair Mats for Low Pile Carpets"/>
    <n v="108.4"/>
    <n v="-105.69"/>
    <n v="-0.97499999999999998"/>
    <n v="5"/>
    <x v="9"/>
    <x v="2"/>
    <x v="4"/>
    <x v="4"/>
  </r>
  <r>
    <n v="6366"/>
    <s v="CA-2017-144848"/>
    <x v="236"/>
    <d v="2017-05-04T00:00:00"/>
    <n v="30"/>
    <s v="DS-13030"/>
    <s v="Darrin Sayre"/>
    <x v="2"/>
    <s v="First Class"/>
    <s v="United States"/>
    <s v="New York"/>
    <s v="New York City"/>
    <x v="3"/>
    <s v="10009"/>
    <s v="TEC-PH-10004006"/>
    <x v="2"/>
    <x v="2"/>
    <s v="Panasonic KX - TS880B Telephone"/>
    <n v="41.22"/>
    <n v="11.1294"/>
    <n v="0.27"/>
    <n v="1"/>
    <x v="0"/>
    <x v="2"/>
    <x v="2"/>
    <x v="2"/>
  </r>
  <r>
    <n v="6370"/>
    <s v="CA-2016-103919"/>
    <x v="76"/>
    <d v="2016-07-10T00:00:00"/>
    <n v="122"/>
    <s v="TP-21565"/>
    <s v="Tracy Poddar"/>
    <x v="1"/>
    <s v="Standard Class"/>
    <s v="United States"/>
    <s v="Texas"/>
    <s v="Grand Prairie"/>
    <x v="2"/>
    <s v="75051"/>
    <s v="FUR-FU-10001756"/>
    <x v="0"/>
    <x v="7"/>
    <s v="Eldon Expressions Desk Accessory, Wood Photo Frame, Mahogany"/>
    <n v="38.08"/>
    <n v="-29.512"/>
    <n v="-0.77500000000000002"/>
    <n v="5"/>
    <x v="9"/>
    <x v="0"/>
    <x v="4"/>
    <x v="4"/>
  </r>
  <r>
    <n v="6399"/>
    <s v="CA-2017-151981"/>
    <x v="149"/>
    <d v="2017-12-08T00:00:00"/>
    <n v="183"/>
    <s v="GM-14455"/>
    <s v="Gary Mitchum"/>
    <x v="2"/>
    <s v="Standard Class"/>
    <s v="United States"/>
    <s v="New Hampshire"/>
    <s v="Concord"/>
    <x v="3"/>
    <s v="3301"/>
    <s v="TEC-PH-10003601"/>
    <x v="2"/>
    <x v="2"/>
    <s v="Ativa D5772 2-Line 5.8GHz Digital Expandable Corded/Cordless Phone System with Answering &amp; Caller ID/Call Waiting, Black/Silver"/>
    <n v="824.95"/>
    <n v="247.48500000000001"/>
    <n v="0.3"/>
    <n v="5"/>
    <x v="0"/>
    <x v="2"/>
    <x v="5"/>
    <x v="5"/>
  </r>
  <r>
    <n v="6457"/>
    <s v="CA-2014-110065"/>
    <x v="21"/>
    <d v="2014-11-08T00:00:00"/>
    <n v="184"/>
    <s v="SP-20650"/>
    <s v="Stephanie Phelps"/>
    <x v="1"/>
    <s v="Standard Class"/>
    <s v="United States"/>
    <s v="New York"/>
    <s v="New York City"/>
    <x v="3"/>
    <s v="10009"/>
    <s v="TEC-PH-10002468"/>
    <x v="2"/>
    <x v="2"/>
    <s v="Plantronics CS 50-USB - headset - Convertible, Monaural"/>
    <n v="135.99"/>
    <n v="36.717300000000002"/>
    <n v="0.27"/>
    <n v="1"/>
    <x v="0"/>
    <x v="1"/>
    <x v="1"/>
    <x v="1"/>
  </r>
  <r>
    <n v="6507"/>
    <s v="US-2016-128909"/>
    <x v="237"/>
    <d v="2016-11-10T00:00:00"/>
    <n v="61"/>
    <s v="SP-20545"/>
    <s v="Sibella Parks"/>
    <x v="1"/>
    <s v="Second Class"/>
    <s v="United States"/>
    <s v="Pennsylvania"/>
    <s v="Philadelphia"/>
    <x v="3"/>
    <s v="19143"/>
    <s v="OFF-PA-10001593"/>
    <x v="1"/>
    <x v="4"/>
    <s v="Xerox 1947"/>
    <n v="19.135999999999999"/>
    <n v="5.98"/>
    <n v="0.31250000000000006"/>
    <n v="4"/>
    <x v="1"/>
    <x v="0"/>
    <x v="3"/>
    <x v="3"/>
  </r>
  <r>
    <n v="6512"/>
    <s v="CA-2017-167640"/>
    <x v="198"/>
    <d v="2017-10-03T00:00:00"/>
    <n v="122"/>
    <s v="FC-14245"/>
    <s v="Frank Carlisle"/>
    <x v="2"/>
    <s v="Standard Class"/>
    <s v="United States"/>
    <s v="California"/>
    <s v="San Francisco"/>
    <x v="1"/>
    <s v="94109"/>
    <s v="OFF-AR-10003158"/>
    <x v="1"/>
    <x v="3"/>
    <s v="Fluorescent Highlighters by Dixon"/>
    <n v="23.88"/>
    <n v="8.1191999999999993"/>
    <n v="0.33999999999999997"/>
    <n v="6"/>
    <x v="0"/>
    <x v="2"/>
    <x v="5"/>
    <x v="5"/>
  </r>
  <r>
    <n v="6576"/>
    <s v="CA-2017-123085"/>
    <x v="100"/>
    <d v="2017-08-03T00:00:00"/>
    <n v="153"/>
    <s v="EJ-13720"/>
    <s v="Ed Jacobs"/>
    <x v="0"/>
    <s v="Standard Class"/>
    <s v="United States"/>
    <s v="California"/>
    <s v="Los Angeles"/>
    <x v="1"/>
    <s v="90008"/>
    <s v="TEC-AC-10000990"/>
    <x v="2"/>
    <x v="11"/>
    <s v="Imation Bio 2GB USB Flash Drive Imation Corp"/>
    <n v="1049.44"/>
    <n v="440.76479999999998"/>
    <n v="0.42"/>
    <n v="8"/>
    <x v="0"/>
    <x v="2"/>
    <x v="4"/>
    <x v="4"/>
  </r>
  <r>
    <n v="6578"/>
    <s v="CA-2015-153752"/>
    <x v="98"/>
    <d v="2015-11-12T00:00:00"/>
    <n v="153"/>
    <s v="RO-19780"/>
    <s v="Rose O'Brian"/>
    <x v="0"/>
    <s v="Second Class"/>
    <s v="United States"/>
    <s v="Virginia"/>
    <s v="Arlington"/>
    <x v="0"/>
    <s v="22204"/>
    <s v="TEC-PH-10001615"/>
    <x v="2"/>
    <x v="2"/>
    <s v="AT&amp;T CL82213"/>
    <n v="173.94"/>
    <n v="50.442599999999999"/>
    <n v="0.28999999999999998"/>
    <n v="6"/>
    <x v="0"/>
    <x v="3"/>
    <x v="5"/>
    <x v="5"/>
  </r>
  <r>
    <n v="6674"/>
    <s v="CA-2015-135510"/>
    <x v="138"/>
    <d v="2015-12-09T00:00:00"/>
    <n v="214"/>
    <s v="TW-21025"/>
    <s v="Tamara Willingham"/>
    <x v="2"/>
    <s v="Standard Class"/>
    <s v="United States"/>
    <s v="Virginia"/>
    <s v="Charlottesville"/>
    <x v="0"/>
    <s v="22901"/>
    <s v="FUR-FU-10000820"/>
    <x v="0"/>
    <x v="7"/>
    <s v="Tensor Brushed Steel Torchiere Floor Lamp"/>
    <n v="67.959999999999994"/>
    <n v="12.232799999999999"/>
    <n v="0.18"/>
    <n v="4"/>
    <x v="0"/>
    <x v="3"/>
    <x v="1"/>
    <x v="1"/>
  </r>
  <r>
    <n v="6864"/>
    <s v="CA-2017-138618"/>
    <x v="24"/>
    <d v="2017-08-12T00:00:00"/>
    <n v="212"/>
    <s v="MY-17380"/>
    <s v="Maribeth Yedwab"/>
    <x v="1"/>
    <s v="Standard Class"/>
    <s v="United States"/>
    <s v="Texas"/>
    <s v="San Antonio"/>
    <x v="2"/>
    <s v="78207"/>
    <s v="OFF-PA-10000520"/>
    <x v="1"/>
    <x v="4"/>
    <s v="Xerox 201"/>
    <n v="10.368"/>
    <n v="3.6288"/>
    <n v="0.35"/>
    <n v="2"/>
    <x v="1"/>
    <x v="2"/>
    <x v="6"/>
    <x v="6"/>
  </r>
  <r>
    <n v="6906"/>
    <s v="US-2017-149006"/>
    <x v="238"/>
    <d v="2017-08-12T00:00:00"/>
    <n v="61"/>
    <s v="BN-11470"/>
    <s v="Brad Norvell"/>
    <x v="1"/>
    <s v="Second Class"/>
    <s v="United States"/>
    <s v="California"/>
    <s v="Brentwood"/>
    <x v="1"/>
    <s v="94513"/>
    <s v="OFF-ST-10003221"/>
    <x v="1"/>
    <x v="6"/>
    <s v="Staple magnet"/>
    <n v="10.68"/>
    <n v="2.8835999999999999"/>
    <n v="0.27"/>
    <n v="1"/>
    <x v="0"/>
    <x v="2"/>
    <x v="5"/>
    <x v="5"/>
  </r>
  <r>
    <n v="6937"/>
    <s v="CA-2016-129847"/>
    <x v="114"/>
    <d v="2016-04-09T00:00:00"/>
    <n v="60"/>
    <s v="TA-21385"/>
    <s v="Tom Ashbrook"/>
    <x v="2"/>
    <s v="First Class"/>
    <s v="United States"/>
    <s v="Illinois"/>
    <s v="Chicago"/>
    <x v="2"/>
    <s v="60653"/>
    <s v="FUR-FU-10000277"/>
    <x v="0"/>
    <x v="7"/>
    <s v="Deflect-o DuraMat Antistatic Studded Beveled Mat for Medium Pile Carpeting"/>
    <n v="84.272000000000006"/>
    <n v="-75.844800000000006"/>
    <n v="-0.9"/>
    <n v="2"/>
    <x v="9"/>
    <x v="0"/>
    <x v="7"/>
    <x v="7"/>
  </r>
  <r>
    <n v="6939"/>
    <s v="CA-2016-125094"/>
    <x v="168"/>
    <d v="2016-09-11T00:00:00"/>
    <n v="123"/>
    <s v="NP-18700"/>
    <s v="Nora Preis"/>
    <x v="0"/>
    <s v="Standard Class"/>
    <s v="United States"/>
    <s v="Washington"/>
    <s v="Seattle"/>
    <x v="1"/>
    <s v="98105"/>
    <s v="TEC-AC-10004420"/>
    <x v="2"/>
    <x v="11"/>
    <s v="Cherry 142-key Programmable Keyboard"/>
    <n v="479.72"/>
    <n v="52.769199999999998"/>
    <n v="0.10999999999999999"/>
    <n v="4"/>
    <x v="0"/>
    <x v="0"/>
    <x v="1"/>
    <x v="1"/>
  </r>
  <r>
    <n v="7026"/>
    <s v="US-2017-101840"/>
    <x v="239"/>
    <d v="2017-12-02T00:00:00"/>
    <n v="183"/>
    <s v="SP-20545"/>
    <s v="Sibella Parks"/>
    <x v="1"/>
    <s v="Standard Class"/>
    <s v="United States"/>
    <s v="New York"/>
    <s v="New York City"/>
    <x v="3"/>
    <s v="10024"/>
    <s v="TEC-PH-10002538"/>
    <x v="2"/>
    <x v="2"/>
    <s v="Grandstream GXP1160 VoIP phone"/>
    <n v="227.46"/>
    <n v="65.963399999999993"/>
    <n v="0.28999999999999998"/>
    <n v="6"/>
    <x v="0"/>
    <x v="2"/>
    <x v="5"/>
    <x v="5"/>
  </r>
  <r>
    <n v="7115"/>
    <s v="US-2016-102239"/>
    <x v="108"/>
    <d v="2016-06-05T00:00:00"/>
    <n v="31"/>
    <s v="LW-16990"/>
    <s v="Lindsay Williams"/>
    <x v="1"/>
    <s v="First Class"/>
    <s v="United States"/>
    <s v="Nevada"/>
    <s v="Henderson"/>
    <x v="1"/>
    <s v="89015"/>
    <s v="FUR-TA-10003392"/>
    <x v="0"/>
    <x v="9"/>
    <s v="Global Adaptabilities Conference Tables"/>
    <n v="1685.88"/>
    <n v="320.31720000000001"/>
    <n v="0.19"/>
    <n v="6"/>
    <x v="0"/>
    <x v="0"/>
    <x v="1"/>
    <x v="1"/>
  </r>
  <r>
    <n v="7178"/>
    <s v="CA-2017-133067"/>
    <x v="107"/>
    <d v="2017-10-05T00:00:00"/>
    <n v="183"/>
    <s v="MY-18295"/>
    <s v="Muhammed Yedwab"/>
    <x v="1"/>
    <s v="Standard Class"/>
    <s v="United States"/>
    <s v="Pennsylvania"/>
    <s v="Philadelphia"/>
    <x v="3"/>
    <s v="19140"/>
    <s v="OFF-BI-10002897"/>
    <x v="1"/>
    <x v="1"/>
    <s v="Black Avery Memo-Size 3-Ring Binder, 5 1/2&quot; x 8 1/2&quot;"/>
    <n v="2.202"/>
    <n v="-1.5414000000000001"/>
    <n v="-0.70000000000000007"/>
    <n v="2"/>
    <x v="3"/>
    <x v="2"/>
    <x v="2"/>
    <x v="2"/>
  </r>
  <r>
    <n v="7211"/>
    <s v="US-2016-119046"/>
    <x v="240"/>
    <d v="2016-06-06T00:00:00"/>
    <n v="121"/>
    <s v="EH-13765"/>
    <s v="Edward Hooks"/>
    <x v="1"/>
    <s v="Standard Class"/>
    <s v="United States"/>
    <s v="Washington"/>
    <s v="Seattle"/>
    <x v="1"/>
    <s v="98115"/>
    <s v="OFF-PA-10000246"/>
    <x v="1"/>
    <x v="4"/>
    <s v="Riverleaf Stik-Withit Designer Note Cubes"/>
    <n v="30.18"/>
    <n v="13.8828"/>
    <n v="0.45999999999999996"/>
    <n v="3"/>
    <x v="0"/>
    <x v="0"/>
    <x v="7"/>
    <x v="7"/>
  </r>
  <r>
    <n v="7238"/>
    <s v="CA-2016-164924"/>
    <x v="241"/>
    <d v="2016-10-07T00:00:00"/>
    <n v="0"/>
    <s v="EA-14035"/>
    <s v="Erin Ashbrook"/>
    <x v="1"/>
    <s v="Same Day"/>
    <s v="United States"/>
    <s v="Pennsylvania"/>
    <s v="Philadelphia"/>
    <x v="3"/>
    <s v="19143"/>
    <s v="TEC-MA-10000904"/>
    <x v="2"/>
    <x v="13"/>
    <s v="Brother MFC-9340CDW LED All-In-One Printer, Copier Scanner"/>
    <n v="341.99099999999999"/>
    <n v="-319.19159999999999"/>
    <n v="-0.93333333333333335"/>
    <n v="3"/>
    <x v="3"/>
    <x v="0"/>
    <x v="10"/>
    <x v="10"/>
  </r>
  <r>
    <n v="7250"/>
    <s v="CA-2015-158491"/>
    <x v="140"/>
    <d v="2015-09-06T00:00:00"/>
    <n v="153"/>
    <s v="BP-11155"/>
    <s v="Becky Pak"/>
    <x v="0"/>
    <s v="Second Class"/>
    <s v="United States"/>
    <s v="California"/>
    <s v="Los Angeles"/>
    <x v="1"/>
    <s v="90008"/>
    <s v="TEC-AC-10001874"/>
    <x v="2"/>
    <x v="11"/>
    <s v="Logitech Wireless Anywhere Mouse MX for PC and Mac"/>
    <n v="119.98"/>
    <n v="35.994"/>
    <n v="0.3"/>
    <n v="2"/>
    <x v="0"/>
    <x v="3"/>
    <x v="2"/>
    <x v="2"/>
  </r>
  <r>
    <n v="7289"/>
    <s v="CA-2014-158281"/>
    <x v="185"/>
    <d v="2014-07-09T00:00:00"/>
    <n v="150"/>
    <s v="AG-10525"/>
    <s v="Andy Gerbode"/>
    <x v="1"/>
    <s v="Standard Class"/>
    <s v="United States"/>
    <s v="Texas"/>
    <s v="Houston"/>
    <x v="2"/>
    <s v="77095"/>
    <s v="TEC-MA-10002210"/>
    <x v="2"/>
    <x v="13"/>
    <s v="Epson TM-T88V Direct Thermal Printer - Monochrome - Desktop"/>
    <n v="559.71"/>
    <n v="-121.2705"/>
    <n v="-0.21666666666666665"/>
    <n v="3"/>
    <x v="4"/>
    <x v="1"/>
    <x v="7"/>
    <x v="7"/>
  </r>
  <r>
    <n v="7293"/>
    <s v="CA-2017-109183"/>
    <x v="187"/>
    <d v="2017-09-12T00:00:00"/>
    <n v="153"/>
    <s v="LR-16915"/>
    <s v="Lena Radford"/>
    <x v="0"/>
    <s v="Standard Class"/>
    <s v="United States"/>
    <s v="Tennessee"/>
    <s v="Nashville"/>
    <x v="0"/>
    <s v="37211"/>
    <s v="TEC-MA-10001856"/>
    <x v="2"/>
    <x v="13"/>
    <s v="Okidata C610n Printer"/>
    <n v="649"/>
    <n v="-272.58"/>
    <n v="-0.42"/>
    <n v="2"/>
    <x v="5"/>
    <x v="2"/>
    <x v="2"/>
    <x v="2"/>
  </r>
  <r>
    <n v="7410"/>
    <s v="CA-2014-121769"/>
    <x v="242"/>
    <d v="2014-12-04T00:00:00"/>
    <n v="122"/>
    <s v="JS-15880"/>
    <s v="John Stevenson"/>
    <x v="0"/>
    <s v="Standard Class"/>
    <s v="United States"/>
    <s v="Ohio"/>
    <s v="Toledo"/>
    <x v="3"/>
    <s v="43615"/>
    <s v="FUR-TA-10004442"/>
    <x v="0"/>
    <x v="9"/>
    <s v="Riverside Furniture Stanwyck Manor Table Series"/>
    <n v="172.11"/>
    <n v="-94.660499999999999"/>
    <n v="-0.54999999999999993"/>
    <n v="1"/>
    <x v="4"/>
    <x v="1"/>
    <x v="0"/>
    <x v="0"/>
  </r>
  <r>
    <n v="7482"/>
    <s v="CA-2016-124583"/>
    <x v="82"/>
    <d v="2016-03-09T00:00:00"/>
    <n v="60"/>
    <s v="LB-16795"/>
    <s v="Laurel Beltran"/>
    <x v="2"/>
    <s v="Second Class"/>
    <s v="United States"/>
    <s v="California"/>
    <s v="Huntington Beach"/>
    <x v="1"/>
    <s v="92646"/>
    <s v="OFF-EN-10002500"/>
    <x v="1"/>
    <x v="5"/>
    <s v="Globe Weis Peel &amp; Seel First Class Envelopes"/>
    <n v="12.78"/>
    <n v="5.7510000000000003"/>
    <n v="0.45000000000000007"/>
    <n v="1"/>
    <x v="0"/>
    <x v="0"/>
    <x v="6"/>
    <x v="6"/>
  </r>
  <r>
    <n v="7642"/>
    <s v="US-2016-157490"/>
    <x v="243"/>
    <d v="2016-07-10T00:00:00"/>
    <n v="30"/>
    <s v="LB-16795"/>
    <s v="Laurel Beltran"/>
    <x v="2"/>
    <s v="First Class"/>
    <s v="United States"/>
    <s v="Colorado"/>
    <s v="Pueblo"/>
    <x v="1"/>
    <s v="81001"/>
    <s v="TEC-MA-10001695"/>
    <x v="2"/>
    <x v="13"/>
    <s v="Zebra GK420t Direct Thermal/Thermal Transfer Printer"/>
    <n v="703.71"/>
    <n v="-938.28"/>
    <n v="-1.3333333333333333"/>
    <n v="6"/>
    <x v="3"/>
    <x v="0"/>
    <x v="5"/>
    <x v="5"/>
  </r>
  <r>
    <n v="7646"/>
    <s v="CA-2015-161452"/>
    <x v="14"/>
    <d v="2015-11-04T00:00:00"/>
    <n v="184"/>
    <s v="CA-11965"/>
    <s v="Carol Adams"/>
    <x v="1"/>
    <s v="Standard Class"/>
    <s v="United States"/>
    <s v="California"/>
    <s v="Los Angeles"/>
    <x v="1"/>
    <s v="90036"/>
    <s v="FUR-CH-10003973"/>
    <x v="0"/>
    <x v="12"/>
    <s v="GuestStacker Chair with Chrome Finish Legs"/>
    <n v="892.22400000000005"/>
    <n v="89.222399999999993"/>
    <n v="9.9999999999999992E-2"/>
    <n v="3"/>
    <x v="1"/>
    <x v="3"/>
    <x v="1"/>
    <x v="1"/>
  </r>
  <r>
    <n v="7715"/>
    <s v="CA-2014-150203"/>
    <x v="3"/>
    <d v="2014-07-12T00:00:00"/>
    <n v="61"/>
    <s v="JB-15925"/>
    <s v="Joni Blumstein"/>
    <x v="0"/>
    <s v="First Class"/>
    <s v="United States"/>
    <s v="California"/>
    <s v="Los Angeles"/>
    <x v="1"/>
    <s v="90032"/>
    <s v="OFF-AP-10001469"/>
    <x v="1"/>
    <x v="8"/>
    <s v="Fellowes 8 Outlet Superior Workstation Surge Protector"/>
    <n v="250.26"/>
    <n v="72.575400000000002"/>
    <n v="0.29000000000000004"/>
    <n v="6"/>
    <x v="0"/>
    <x v="1"/>
    <x v="1"/>
    <x v="1"/>
  </r>
  <r>
    <n v="7717"/>
    <s v="CA-2015-149636"/>
    <x v="244"/>
    <d v="2015-12-01T00:00:00"/>
    <n v="183"/>
    <s v="SP-20620"/>
    <s v="Stefania Perrino"/>
    <x v="1"/>
    <s v="Standard Class"/>
    <s v="United States"/>
    <s v="Colorado"/>
    <s v="Colorado Springs"/>
    <x v="1"/>
    <s v="80906"/>
    <s v="OFF-PA-10004041"/>
    <x v="1"/>
    <x v="4"/>
    <s v="It's Hot Message Books with Stickers, 2 3/4&quot; x 5&quot;"/>
    <n v="29.6"/>
    <n v="9.25"/>
    <n v="0.3125"/>
    <n v="5"/>
    <x v="1"/>
    <x v="3"/>
    <x v="5"/>
    <x v="5"/>
  </r>
  <r>
    <n v="7762"/>
    <s v="CA-2017-123071"/>
    <x v="245"/>
    <d v="2017-06-12T00:00:00"/>
    <n v="92"/>
    <s v="CC-12550"/>
    <s v="Clay Cheatham"/>
    <x v="0"/>
    <s v="First Class"/>
    <s v="United States"/>
    <s v="Texas"/>
    <s v="Plano"/>
    <x v="2"/>
    <s v="75023"/>
    <s v="OFF-PA-10003729"/>
    <x v="1"/>
    <x v="4"/>
    <s v="Xerox 1998"/>
    <n v="10.368"/>
    <n v="3.6288"/>
    <n v="0.35"/>
    <n v="2"/>
    <x v="1"/>
    <x v="2"/>
    <x v="4"/>
    <x v="4"/>
  </r>
  <r>
    <n v="7821"/>
    <s v="CA-2017-152436"/>
    <x v="39"/>
    <d v="2017-10-12T00:00:00"/>
    <n v="61"/>
    <s v="CW-11905"/>
    <s v="Carl Weiss"/>
    <x v="2"/>
    <s v="Second Class"/>
    <s v="United States"/>
    <s v="Rhode Island"/>
    <s v="Cranston"/>
    <x v="3"/>
    <s v="2920"/>
    <s v="OFF-ST-10000036"/>
    <x v="1"/>
    <x v="6"/>
    <s v="Recycled Data-Pak for Archival Bound Computer Printouts, 12-1/2 x 12-1/2 x 16"/>
    <n v="592.74"/>
    <n v="160.03980000000001"/>
    <n v="0.27"/>
    <n v="6"/>
    <x v="0"/>
    <x v="2"/>
    <x v="0"/>
    <x v="0"/>
  </r>
  <r>
    <n v="7881"/>
    <s v="CA-2017-118017"/>
    <x v="245"/>
    <d v="2017-06-12T00:00:00"/>
    <n v="92"/>
    <s v="LC-16870"/>
    <s v="Lena Cacioppo"/>
    <x v="0"/>
    <s v="Second Class"/>
    <s v="United States"/>
    <s v="Colorado"/>
    <s v="Thornton"/>
    <x v="1"/>
    <s v="80229"/>
    <s v="OFF-AR-10003856"/>
    <x v="1"/>
    <x v="3"/>
    <s v="Newell 344"/>
    <n v="13.343999999999999"/>
    <n v="1.0007999999999999"/>
    <n v="7.4999999999999997E-2"/>
    <n v="6"/>
    <x v="1"/>
    <x v="2"/>
    <x v="4"/>
    <x v="4"/>
  </r>
  <r>
    <n v="7968"/>
    <s v="CA-2016-157707"/>
    <x v="246"/>
    <d v="2016-12-10T00:00:00"/>
    <n v="61"/>
    <s v="CC-12610"/>
    <s v="Corey Catlett"/>
    <x v="1"/>
    <s v="First Class"/>
    <s v="United States"/>
    <s v="Colorado"/>
    <s v="Denver"/>
    <x v="1"/>
    <s v="80219"/>
    <s v="FUR-BO-10001567"/>
    <x v="0"/>
    <x v="0"/>
    <s v="Bush Westfield Collection Bookcases, Dark Cherry Finish, Fully Assembled"/>
    <n v="90.882000000000005"/>
    <n v="-190.85220000000001"/>
    <n v="-2.1"/>
    <n v="3"/>
    <x v="3"/>
    <x v="0"/>
    <x v="10"/>
    <x v="10"/>
  </r>
  <r>
    <n v="8004"/>
    <s v="CA-2014-143210"/>
    <x v="139"/>
    <d v="2014-03-12T00:00:00"/>
    <n v="59"/>
    <s v="AA-10645"/>
    <s v="Anna Andreadi"/>
    <x v="0"/>
    <s v="First Class"/>
    <s v="United States"/>
    <s v="Massachusetts"/>
    <s v="Lowell"/>
    <x v="3"/>
    <s v="1852"/>
    <s v="TEC-PH-10004434"/>
    <x v="2"/>
    <x v="2"/>
    <s v="Cisco IP Phone 7961G VoIP phone - Dark gray"/>
    <n v="271.89999999999998"/>
    <n v="78.850999999999999"/>
    <n v="0.29000000000000004"/>
    <n v="2"/>
    <x v="0"/>
    <x v="1"/>
    <x v="6"/>
    <x v="6"/>
  </r>
  <r>
    <n v="8063"/>
    <s v="CA-2016-132997"/>
    <x v="19"/>
    <d v="2016-09-11T00:00:00"/>
    <n v="62"/>
    <s v="LW-17215"/>
    <s v="Luke Weiss"/>
    <x v="0"/>
    <s v="First Class"/>
    <s v="United States"/>
    <s v="New York"/>
    <s v="Rochester"/>
    <x v="3"/>
    <s v="14609"/>
    <s v="TEC-PH-10000586"/>
    <x v="2"/>
    <x v="2"/>
    <s v="AT&amp;T SB67148 SynJ"/>
    <n v="263.95999999999998"/>
    <n v="71.269199999999998"/>
    <n v="0.27"/>
    <n v="4"/>
    <x v="0"/>
    <x v="0"/>
    <x v="9"/>
    <x v="9"/>
  </r>
  <r>
    <n v="8180"/>
    <s v="CA-2015-112767"/>
    <x v="247"/>
    <d v="2015-06-08T00:00:00"/>
    <n v="120"/>
    <s v="DK-12985"/>
    <s v="Darren Koutras"/>
    <x v="0"/>
    <s v="Standard Class"/>
    <s v="United States"/>
    <s v="Oregon"/>
    <s v="Springfield"/>
    <x v="1"/>
    <s v="97477"/>
    <s v="FUR-TA-10003469"/>
    <x v="0"/>
    <x v="9"/>
    <s v="Balt Split Level Computer Training Table"/>
    <n v="277.5"/>
    <n v="-188.7"/>
    <n v="-0.67999999999999994"/>
    <n v="4"/>
    <x v="5"/>
    <x v="3"/>
    <x v="7"/>
    <x v="7"/>
  </r>
  <r>
    <n v="8212"/>
    <s v="CA-2016-116337"/>
    <x v="19"/>
    <d v="2016-12-11T00:00:00"/>
    <n v="153"/>
    <s v="MC-17845"/>
    <s v="Michael Chen"/>
    <x v="0"/>
    <s v="Standard Class"/>
    <s v="United States"/>
    <s v="Texas"/>
    <s v="Dallas"/>
    <x v="2"/>
    <s v="75220"/>
    <s v="FUR-FU-10002030"/>
    <x v="0"/>
    <x v="7"/>
    <s v="Executive Impressions 14&quot; Contract Wall Clock with Quartz Movement"/>
    <n v="44.46"/>
    <n v="-17.783999999999999"/>
    <n v="-0.39999999999999997"/>
    <n v="5"/>
    <x v="9"/>
    <x v="0"/>
    <x v="9"/>
    <x v="9"/>
  </r>
  <r>
    <n v="8235"/>
    <s v="CA-2017-102204"/>
    <x v="203"/>
    <d v="2017-06-05T00:00:00"/>
    <n v="151"/>
    <s v="CJ-12010"/>
    <s v="Caroline Jumper"/>
    <x v="0"/>
    <s v="Standard Class"/>
    <s v="United States"/>
    <s v="Florida"/>
    <s v="Jacksonville"/>
    <x v="0"/>
    <s v="32216"/>
    <s v="OFF-SU-10001212"/>
    <x v="1"/>
    <x v="15"/>
    <s v="Kleencut Forged Office Shears by Acme United Corporation"/>
    <n v="3.3279999999999998"/>
    <n v="0.41599999999999998"/>
    <n v="0.125"/>
    <n v="2"/>
    <x v="1"/>
    <x v="2"/>
    <x v="6"/>
    <x v="6"/>
  </r>
  <r>
    <n v="8331"/>
    <s v="CA-2017-113572"/>
    <x v="155"/>
    <d v="2017-11-11T00:00:00"/>
    <n v="123"/>
    <s v="FP-14320"/>
    <s v="Frank Preis"/>
    <x v="0"/>
    <s v="Standard Class"/>
    <s v="United States"/>
    <s v="New York"/>
    <s v="New York City"/>
    <x v="3"/>
    <s v="10024"/>
    <s v="TEC-AC-10002370"/>
    <x v="2"/>
    <x v="11"/>
    <s v="Maxell CD-R Discs"/>
    <n v="7.88"/>
    <n v="2.5215999999999998"/>
    <n v="0.32"/>
    <n v="4"/>
    <x v="0"/>
    <x v="2"/>
    <x v="9"/>
    <x v="9"/>
  </r>
  <r>
    <n v="8337"/>
    <s v="CA-2016-101469"/>
    <x v="92"/>
    <d v="2016-08-07T00:00:00"/>
    <n v="182"/>
    <s v="KH-16360"/>
    <s v="Katherine Hughes"/>
    <x v="0"/>
    <s v="Standard Class"/>
    <s v="United States"/>
    <s v="Virginia"/>
    <s v="Arlington"/>
    <x v="0"/>
    <s v="22204"/>
    <s v="OFF-AR-10003986"/>
    <x v="1"/>
    <x v="3"/>
    <s v="Avery Hi-Liter Pen Style Six-Color Fluorescent Set"/>
    <n v="7.7"/>
    <n v="3.157"/>
    <n v="0.41"/>
    <n v="2"/>
    <x v="0"/>
    <x v="0"/>
    <x v="7"/>
    <x v="7"/>
  </r>
  <r>
    <n v="8367"/>
    <s v="CA-2014-109918"/>
    <x v="248"/>
    <d v="2014-12-09T00:00:00"/>
    <n v="153"/>
    <s v="LR-17035"/>
    <s v="Lisa Ryan"/>
    <x v="1"/>
    <s v="Second Class"/>
    <s v="United States"/>
    <s v="California"/>
    <s v="Santa Clara"/>
    <x v="1"/>
    <s v="95051"/>
    <s v="OFF-SU-10004290"/>
    <x v="1"/>
    <x v="15"/>
    <s v="Acme Design Line 8&quot; Stainless Steel Bent Scissors w/Champagne Handles, 3-1/8&quot; Cut"/>
    <n v="27.36"/>
    <n v="7.3872"/>
    <n v="0.27"/>
    <n v="4"/>
    <x v="0"/>
    <x v="1"/>
    <x v="9"/>
    <x v="9"/>
  </r>
  <r>
    <n v="8492"/>
    <s v="CA-2017-106824"/>
    <x v="166"/>
    <d v="2017-11-07T00:00:00"/>
    <n v="123"/>
    <s v="AT-10735"/>
    <s v="Annie Thurman"/>
    <x v="0"/>
    <s v="Standard Class"/>
    <s v="United States"/>
    <s v="California"/>
    <s v="Los Angeles"/>
    <x v="1"/>
    <s v="90049"/>
    <s v="OFF-FA-10001135"/>
    <x v="1"/>
    <x v="14"/>
    <s v="Brites Rubber Bands, 1 1/2 oz. Box"/>
    <n v="5.94"/>
    <n v="0.1188"/>
    <n v="0.02"/>
    <n v="3"/>
    <x v="0"/>
    <x v="2"/>
    <x v="9"/>
    <x v="9"/>
  </r>
  <r>
    <n v="8496"/>
    <s v="CA-2016-143154"/>
    <x v="119"/>
    <d v="2016-08-12T00:00:00"/>
    <n v="182"/>
    <s v="AS-10225"/>
    <s v="Alan Schoenberger"/>
    <x v="1"/>
    <s v="Standard Class"/>
    <s v="United States"/>
    <s v="Colorado"/>
    <s v="Longmont"/>
    <x v="1"/>
    <s v="80501"/>
    <s v="TEC-AC-10002942"/>
    <x v="2"/>
    <x v="11"/>
    <s v="WD My Passport Ultra 1TB Portable External Hard Drive"/>
    <n v="165.6"/>
    <n v="-6.21"/>
    <n v="-3.7499999999999999E-2"/>
    <n v="3"/>
    <x v="1"/>
    <x v="0"/>
    <x v="7"/>
    <x v="7"/>
  </r>
  <r>
    <n v="8519"/>
    <s v="CA-2017-118003"/>
    <x v="187"/>
    <d v="2017-10-12T00:00:00"/>
    <n v="183"/>
    <s v="DO-13645"/>
    <s v="Doug O'Connell"/>
    <x v="0"/>
    <s v="Standard Class"/>
    <s v="United States"/>
    <s v="New Jersey"/>
    <s v="Paterson"/>
    <x v="3"/>
    <s v="7501"/>
    <s v="FUR-FU-10002506"/>
    <x v="0"/>
    <x v="7"/>
    <s v="Tensor &quot;Hersey Kiss&quot; Styled Floor Lamp"/>
    <n v="12.99"/>
    <n v="1.5588"/>
    <n v="0.12"/>
    <n v="1"/>
    <x v="0"/>
    <x v="2"/>
    <x v="2"/>
    <x v="2"/>
  </r>
  <r>
    <n v="8523"/>
    <s v="US-2016-160206"/>
    <x v="43"/>
    <d v="2016-07-04T00:00:00"/>
    <n v="182"/>
    <s v="MY-18295"/>
    <s v="Muhammed Yedwab"/>
    <x v="1"/>
    <s v="Standard Class"/>
    <s v="United States"/>
    <s v="Wisconsin"/>
    <s v="Milwaukee"/>
    <x v="2"/>
    <s v="53209"/>
    <s v="TEC-PH-10000148"/>
    <x v="2"/>
    <x v="2"/>
    <s v="Cyber Acoustics AC-202b Speech Recognition Stereo Headset"/>
    <n v="12.99"/>
    <n v="0.25979999999999998"/>
    <n v="1.9999999999999997E-2"/>
    <n v="1"/>
    <x v="0"/>
    <x v="0"/>
    <x v="6"/>
    <x v="6"/>
  </r>
  <r>
    <n v="8550"/>
    <s v="CA-2015-126186"/>
    <x v="249"/>
    <d v="2015-12-09T00:00:00"/>
    <n v="30"/>
    <s v="GB-14530"/>
    <s v="George Bell"/>
    <x v="1"/>
    <s v="First Class"/>
    <s v="United States"/>
    <s v="Colorado"/>
    <s v="Aurora"/>
    <x v="1"/>
    <s v="80013"/>
    <s v="FUR-FU-10000073"/>
    <x v="0"/>
    <x v="7"/>
    <s v="Deflect-O Glasstique Clear Desk Accessories"/>
    <n v="24.64"/>
    <n v="4.0039999999999996"/>
    <n v="0.16249999999999998"/>
    <n v="4"/>
    <x v="1"/>
    <x v="3"/>
    <x v="8"/>
    <x v="8"/>
  </r>
  <r>
    <n v="8704"/>
    <s v="CA-2015-133494"/>
    <x v="250"/>
    <d v="2015-05-03T00:00:00"/>
    <n v="120"/>
    <s v="RP-19390"/>
    <s v="Resi Pölking"/>
    <x v="0"/>
    <s v="Standard Class"/>
    <s v="United States"/>
    <s v="Pennsylvania"/>
    <s v="Philadelphia"/>
    <x v="3"/>
    <s v="19120"/>
    <s v="OFF-AP-10002906"/>
    <x v="1"/>
    <x v="8"/>
    <s v="Hoover Replacement Belt for Commercial Guardsman Heavy-Duty Upright Vacuum"/>
    <n v="3.552"/>
    <n v="0.44400000000000001"/>
    <n v="0.125"/>
    <n v="2"/>
    <x v="1"/>
    <x v="3"/>
    <x v="6"/>
    <x v="6"/>
  </r>
  <r>
    <n v="8706"/>
    <s v="US-2014-132745"/>
    <x v="251"/>
    <d v="2014-05-10T00:00:00"/>
    <n v="120"/>
    <s v="NF-18475"/>
    <s v="Neil Französisch"/>
    <x v="2"/>
    <s v="Standard Class"/>
    <s v="United States"/>
    <s v="Nevada"/>
    <s v="Reno"/>
    <x v="1"/>
    <s v="89502"/>
    <s v="OFF-FA-10000254"/>
    <x v="1"/>
    <x v="14"/>
    <s v="Sterling Rubber Bands by Alliance"/>
    <n v="4.71"/>
    <n v="0"/>
    <n v="0"/>
    <n v="1"/>
    <x v="0"/>
    <x v="1"/>
    <x v="6"/>
    <x v="6"/>
  </r>
  <r>
    <n v="8752"/>
    <s v="CA-2016-105662"/>
    <x v="108"/>
    <d v="2016-09-05T00:00:00"/>
    <n v="123"/>
    <s v="RB-19465"/>
    <s v="Rick Bensley"/>
    <x v="2"/>
    <s v="Standard Class"/>
    <s v="United States"/>
    <s v="Florida"/>
    <s v="Tallahassee"/>
    <x v="0"/>
    <s v="32303"/>
    <s v="OFF-PA-10001001"/>
    <x v="1"/>
    <x v="4"/>
    <s v="Snap-A-Way Black Print Carbonless Speed Message, No Reply Area, Duplicate"/>
    <n v="93.248000000000005"/>
    <n v="31.4712"/>
    <n v="0.33749999999999997"/>
    <n v="4"/>
    <x v="1"/>
    <x v="0"/>
    <x v="1"/>
    <x v="1"/>
  </r>
  <r>
    <n v="8829"/>
    <s v="CA-2015-115168"/>
    <x v="252"/>
    <d v="2015-09-06T00:00:00"/>
    <n v="123"/>
    <s v="BB-11545"/>
    <s v="Brenda Bowman"/>
    <x v="1"/>
    <s v="Standard Class"/>
    <s v="United States"/>
    <s v="Missouri"/>
    <s v="Saint Charles"/>
    <x v="2"/>
    <s v="63301"/>
    <s v="OFF-PA-10000528"/>
    <x v="1"/>
    <x v="4"/>
    <s v="Xerox 1981"/>
    <n v="10.56"/>
    <n v="4.7519999999999998"/>
    <n v="0.44999999999999996"/>
    <n v="2"/>
    <x v="0"/>
    <x v="3"/>
    <x v="1"/>
    <x v="1"/>
  </r>
  <r>
    <n v="8869"/>
    <s v="CA-2016-158260"/>
    <x v="59"/>
    <d v="2016-08-11T00:00:00"/>
    <n v="122"/>
    <s v="CC-12475"/>
    <s v="Cindy Chapman"/>
    <x v="0"/>
    <s v="Standard Class"/>
    <s v="United States"/>
    <s v="California"/>
    <s v="San Diego"/>
    <x v="1"/>
    <s v="92037"/>
    <s v="TEC-MA-10003176"/>
    <x v="2"/>
    <x v="13"/>
    <s v="Okidata B400 Printer"/>
    <n v="686.4"/>
    <n v="77.22"/>
    <n v="0.1125"/>
    <n v="2"/>
    <x v="1"/>
    <x v="0"/>
    <x v="2"/>
    <x v="2"/>
  </r>
  <r>
    <n v="8873"/>
    <s v="US-2014-105137"/>
    <x v="253"/>
    <d v="2014-10-10T00:00:00"/>
    <n v="0"/>
    <s v="RB-19435"/>
    <s v="Richard Bierner"/>
    <x v="0"/>
    <s v="Same Day"/>
    <s v="United States"/>
    <s v="Ohio"/>
    <s v="Columbus"/>
    <x v="3"/>
    <s v="43229"/>
    <s v="TEC-MA-10002694"/>
    <x v="2"/>
    <x v="13"/>
    <s v="Hewlett-Packard Deskjet F4180 All-in-One Color Ink-jet - Printer / copier / scanner"/>
    <n v="101.994"/>
    <n v="-71.395799999999994"/>
    <n v="-0.7"/>
    <n v="2"/>
    <x v="3"/>
    <x v="1"/>
    <x v="10"/>
    <x v="10"/>
  </r>
  <r>
    <n v="8911"/>
    <s v="CA-2017-102610"/>
    <x v="57"/>
    <d v="2017-08-11T00:00:00"/>
    <n v="122"/>
    <s v="CA-12265"/>
    <s v="Christina Anderson"/>
    <x v="0"/>
    <s v="Standard Class"/>
    <s v="United States"/>
    <s v="Tennessee"/>
    <s v="Chattanooga"/>
    <x v="0"/>
    <s v="37421"/>
    <s v="TEC-AC-10000303"/>
    <x v="2"/>
    <x v="11"/>
    <s v="Logitech M510 Wireless Mouse"/>
    <n v="95.975999999999999"/>
    <n v="15.5961"/>
    <n v="0.16250000000000001"/>
    <n v="3"/>
    <x v="1"/>
    <x v="2"/>
    <x v="2"/>
    <x v="2"/>
  </r>
  <r>
    <n v="8981"/>
    <s v="CA-2014-108182"/>
    <x v="254"/>
    <d v="2014-10-02T00:00:00"/>
    <n v="122"/>
    <s v="DL-13315"/>
    <s v="Delfina Latchford"/>
    <x v="0"/>
    <s v="Second Class"/>
    <s v="United States"/>
    <s v="Illinois"/>
    <s v="Romeoville"/>
    <x v="2"/>
    <s v="60441"/>
    <s v="OFF-BI-10001196"/>
    <x v="1"/>
    <x v="1"/>
    <s v="Avery Flip-Chart Easel Binder, Black"/>
    <n v="8.952"/>
    <n v="-14.770799999999999"/>
    <n v="-1.65"/>
    <n v="2"/>
    <x v="2"/>
    <x v="1"/>
    <x v="5"/>
    <x v="5"/>
  </r>
  <r>
    <n v="9057"/>
    <s v="CA-2015-160227"/>
    <x v="28"/>
    <d v="2015-04-11T00:00:00"/>
    <n v="59"/>
    <s v="ED-13885"/>
    <s v="Emily Ducich"/>
    <x v="2"/>
    <s v="First Class"/>
    <s v="United States"/>
    <s v="New York"/>
    <s v="New York City"/>
    <x v="3"/>
    <s v="10011"/>
    <s v="FUR-CH-10002073"/>
    <x v="0"/>
    <x v="12"/>
    <s v="Hon Olson Stacker Chairs"/>
    <n v="2621.3220000000001"/>
    <n v="553.39020000000005"/>
    <n v="0.21111111111111111"/>
    <n v="11"/>
    <x v="7"/>
    <x v="3"/>
    <x v="7"/>
    <x v="7"/>
  </r>
  <r>
    <n v="9275"/>
    <s v="US-2014-134054"/>
    <x v="253"/>
    <d v="2014-10-10T00:00:00"/>
    <n v="0"/>
    <s v="FC-14335"/>
    <s v="Fred Chung"/>
    <x v="1"/>
    <s v="Same Day"/>
    <s v="United States"/>
    <s v="New Mexico"/>
    <s v="Albuquerque"/>
    <x v="1"/>
    <s v="87105"/>
    <s v="OFF-AR-10000937"/>
    <x v="1"/>
    <x v="3"/>
    <s v="Dixon Ticonderoga Core-Lock Colored Pencils, 48-Color Set"/>
    <n v="255.85"/>
    <n v="112.574"/>
    <n v="0.44"/>
    <n v="7"/>
    <x v="0"/>
    <x v="1"/>
    <x v="10"/>
    <x v="10"/>
  </r>
  <r>
    <n v="9316"/>
    <s v="CA-2016-161907"/>
    <x v="7"/>
    <d v="2016-09-04T00:00:00"/>
    <n v="123"/>
    <s v="JH-16180"/>
    <s v="Justin Hirsh"/>
    <x v="0"/>
    <s v="Standard Class"/>
    <s v="United States"/>
    <s v="Pennsylvania"/>
    <s v="Philadelphia"/>
    <x v="3"/>
    <s v="19140"/>
    <s v="TEC-PH-10000141"/>
    <x v="2"/>
    <x v="2"/>
    <s v="Clearsounds A400"/>
    <n v="118.782"/>
    <n v="-27.715800000000002"/>
    <n v="-0.23333333333333336"/>
    <n v="3"/>
    <x v="4"/>
    <x v="0"/>
    <x v="1"/>
    <x v="1"/>
  </r>
  <r>
    <n v="9605"/>
    <s v="CA-2015-138625"/>
    <x v="28"/>
    <d v="2015-05-11T00:00:00"/>
    <n v="89"/>
    <s v="EG-13900"/>
    <s v="Emily Grady"/>
    <x v="0"/>
    <s v="First Class"/>
    <s v="United States"/>
    <s v="Virginia"/>
    <s v="Chesapeake"/>
    <x v="0"/>
    <s v="23320"/>
    <s v="OFF-AP-10003099"/>
    <x v="1"/>
    <x v="8"/>
    <s v="Eureka Hand Vacuum, Bagless"/>
    <n v="197.72"/>
    <n v="55.361600000000003"/>
    <n v="0.28000000000000003"/>
    <n v="4"/>
    <x v="0"/>
    <x v="3"/>
    <x v="7"/>
    <x v="7"/>
  </r>
  <r>
    <n v="9608"/>
    <s v="CA-2017-117128"/>
    <x v="56"/>
    <d v="2017-08-12T00:00:00"/>
    <n v="92"/>
    <s v="BF-11080"/>
    <s v="Bart Folk"/>
    <x v="0"/>
    <s v="Second Class"/>
    <s v="United States"/>
    <s v="New York"/>
    <s v="New York City"/>
    <x v="3"/>
    <s v="10024"/>
    <s v="OFF-PA-10000007"/>
    <x v="1"/>
    <x v="4"/>
    <s v="Telephone Message Books with Fax/Mobile Section, 4 1/4&quot; x 6&quot;"/>
    <n v="21.6"/>
    <n v="9.9359999999999999"/>
    <n v="0.45999999999999996"/>
    <n v="6"/>
    <x v="0"/>
    <x v="2"/>
    <x v="1"/>
    <x v="1"/>
  </r>
  <r>
    <n v="9676"/>
    <s v="CA-2016-137393"/>
    <x v="255"/>
    <d v="2016-10-05T00:00:00"/>
    <n v="122"/>
    <s v="GM-14500"/>
    <s v="Gene McClure"/>
    <x v="0"/>
    <s v="Standard Class"/>
    <s v="United States"/>
    <s v="California"/>
    <s v="Bakersfield"/>
    <x v="1"/>
    <s v="93309"/>
    <s v="FUR-FU-10001617"/>
    <x v="0"/>
    <x v="7"/>
    <s v="Executive Impressions 8-1/2&quot; Career Panel/Partition Cubicle Clock"/>
    <n v="41.6"/>
    <n v="14.144"/>
    <n v="0.33999999999999997"/>
    <n v="4"/>
    <x v="0"/>
    <x v="0"/>
    <x v="5"/>
    <x v="5"/>
  </r>
  <r>
    <n v="9857"/>
    <s v="CA-2014-120950"/>
    <x v="256"/>
    <d v="2014-11-11T00:00:00"/>
    <n v="153"/>
    <s v="GA-14515"/>
    <s v="George Ashbrook"/>
    <x v="0"/>
    <s v="Standard Class"/>
    <s v="United States"/>
    <s v="Georgia"/>
    <s v="Columbus"/>
    <x v="0"/>
    <s v="31907"/>
    <s v="OFF-PA-10000587"/>
    <x v="1"/>
    <x v="4"/>
    <s v="Array Parchment Paper, Assorted Colors"/>
    <n v="43.68"/>
    <n v="20.9664"/>
    <n v="0.48"/>
    <n v="6"/>
    <x v="0"/>
    <x v="1"/>
    <x v="5"/>
    <x v="5"/>
  </r>
  <r>
    <n v="9974"/>
    <s v="US-2016-103674"/>
    <x v="186"/>
    <d v="2016-10-12T00:00:00"/>
    <n v="122"/>
    <s v="AP-10720"/>
    <s v="Anne Pryor"/>
    <x v="2"/>
    <s v="Standard Class"/>
    <s v="United States"/>
    <s v="California"/>
    <s v="Los Angeles"/>
    <x v="1"/>
    <s v="90032"/>
    <s v="TEC-PH-10004080"/>
    <x v="2"/>
    <x v="2"/>
    <s v="Avaya 5410 Digital phone"/>
    <n v="271.95999999999998"/>
    <n v="27.196000000000002"/>
    <n v="0.10000000000000002"/>
    <n v="5"/>
    <x v="1"/>
    <x v="0"/>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2EE4EB-1E38-4F57-B23E-9A3C13FDDAC8}"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8:F9" firstHeaderRow="0" firstDataRow="1" firstDataCol="0"/>
  <pivotFields count="29">
    <pivotField compact="0" outline="0" showAll="0" defaultSubtotal="0"/>
    <pivotField compact="0" outline="0" showAll="0" defaultSubtotal="0"/>
    <pivotField compact="0" numFmtId="14" outline="0" showAll="0" defaultSubtotal="0">
      <items count="257">
        <item x="50"/>
        <item x="226"/>
        <item x="110"/>
        <item x="30"/>
        <item x="60"/>
        <item x="157"/>
        <item x="93"/>
        <item x="251"/>
        <item x="68"/>
        <item x="139"/>
        <item x="133"/>
        <item x="61"/>
        <item x="233"/>
        <item x="185"/>
        <item x="212"/>
        <item x="52"/>
        <item x="125"/>
        <item x="22"/>
        <item x="213"/>
        <item x="106"/>
        <item x="225"/>
        <item x="152"/>
        <item x="64"/>
        <item x="124"/>
        <item x="128"/>
        <item x="126"/>
        <item x="117"/>
        <item x="111"/>
        <item x="178"/>
        <item x="31"/>
        <item x="177"/>
        <item x="58"/>
        <item x="21"/>
        <item x="3"/>
        <item x="254"/>
        <item x="73"/>
        <item x="103"/>
        <item x="136"/>
        <item x="199"/>
        <item x="45"/>
        <item x="256"/>
        <item x="71"/>
        <item x="37"/>
        <item x="248"/>
        <item x="242"/>
        <item x="234"/>
        <item x="179"/>
        <item x="20"/>
        <item x="175"/>
        <item x="44"/>
        <item x="253"/>
        <item x="250"/>
        <item x="116"/>
        <item x="121"/>
        <item x="33"/>
        <item x="181"/>
        <item x="118"/>
        <item x="25"/>
        <item x="13"/>
        <item x="180"/>
        <item x="169"/>
        <item x="247"/>
        <item x="154"/>
        <item x="28"/>
        <item x="147"/>
        <item x="210"/>
        <item x="54"/>
        <item x="6"/>
        <item x="67"/>
        <item x="120"/>
        <item x="36"/>
        <item x="89"/>
        <item x="29"/>
        <item x="140"/>
        <item x="95"/>
        <item x="209"/>
        <item x="55"/>
        <item x="192"/>
        <item x="144"/>
        <item x="14"/>
        <item x="252"/>
        <item x="174"/>
        <item x="138"/>
        <item x="80"/>
        <item x="224"/>
        <item x="244"/>
        <item x="163"/>
        <item x="87"/>
        <item x="159"/>
        <item x="86"/>
        <item x="98"/>
        <item x="211"/>
        <item x="229"/>
        <item x="182"/>
        <item x="46"/>
        <item x="49"/>
        <item x="151"/>
        <item x="207"/>
        <item x="216"/>
        <item x="218"/>
        <item x="137"/>
        <item x="142"/>
        <item x="223"/>
        <item x="127"/>
        <item x="84"/>
        <item x="85"/>
        <item x="190"/>
        <item x="249"/>
        <item x="132"/>
        <item x="205"/>
        <item x="43"/>
        <item x="228"/>
        <item x="206"/>
        <item x="82"/>
        <item x="161"/>
        <item x="113"/>
        <item x="11"/>
        <item x="222"/>
        <item x="97"/>
        <item x="240"/>
        <item x="92"/>
        <item x="220"/>
        <item x="114"/>
        <item x="119"/>
        <item x="202"/>
        <item x="230"/>
        <item x="196"/>
        <item x="74"/>
        <item x="76"/>
        <item x="12"/>
        <item x="63"/>
        <item x="184"/>
        <item x="232"/>
        <item x="172"/>
        <item x="208"/>
        <item x="4"/>
        <item x="176"/>
        <item x="59"/>
        <item x="123"/>
        <item x="72"/>
        <item x="112"/>
        <item x="7"/>
        <item x="108"/>
        <item x="197"/>
        <item x="17"/>
        <item x="168"/>
        <item x="1"/>
        <item x="227"/>
        <item x="255"/>
        <item x="42"/>
        <item x="10"/>
        <item x="243"/>
        <item x="186"/>
        <item x="156"/>
        <item x="135"/>
        <item x="69"/>
        <item x="66"/>
        <item x="158"/>
        <item x="62"/>
        <item x="215"/>
        <item x="19"/>
        <item x="141"/>
        <item x="134"/>
        <item x="78"/>
        <item x="131"/>
        <item x="148"/>
        <item x="38"/>
        <item x="221"/>
        <item x="0"/>
        <item x="2"/>
        <item x="195"/>
        <item x="237"/>
        <item x="77"/>
        <item x="241"/>
        <item x="160"/>
        <item x="246"/>
        <item x="75"/>
        <item x="18"/>
        <item x="91"/>
        <item x="90"/>
        <item x="70"/>
        <item x="173"/>
        <item x="203"/>
        <item x="164"/>
        <item x="94"/>
        <item x="191"/>
        <item x="41"/>
        <item x="171"/>
        <item x="24"/>
        <item x="105"/>
        <item x="16"/>
        <item x="170"/>
        <item x="104"/>
        <item x="102"/>
        <item x="79"/>
        <item x="65"/>
        <item x="183"/>
        <item x="145"/>
        <item x="100"/>
        <item x="81"/>
        <item x="23"/>
        <item x="99"/>
        <item x="153"/>
        <item x="48"/>
        <item x="146"/>
        <item x="32"/>
        <item x="245"/>
        <item x="40"/>
        <item x="236"/>
        <item x="107"/>
        <item x="96"/>
        <item x="217"/>
        <item x="194"/>
        <item x="57"/>
        <item x="187"/>
        <item x="200"/>
        <item x="219"/>
        <item x="204"/>
        <item x="115"/>
        <item x="235"/>
        <item x="15"/>
        <item x="56"/>
        <item x="239"/>
        <item x="198"/>
        <item x="150"/>
        <item x="201"/>
        <item x="231"/>
        <item x="149"/>
        <item x="188"/>
        <item x="8"/>
        <item x="238"/>
        <item x="109"/>
        <item x="26"/>
        <item x="214"/>
        <item x="166"/>
        <item x="47"/>
        <item x="167"/>
        <item x="155"/>
        <item x="53"/>
        <item x="165"/>
        <item x="35"/>
        <item x="130"/>
        <item x="27"/>
        <item x="34"/>
        <item x="39"/>
        <item x="83"/>
        <item x="88"/>
        <item x="101"/>
        <item x="9"/>
        <item x="5"/>
        <item x="193"/>
        <item x="189"/>
        <item x="122"/>
        <item x="129"/>
        <item x="51"/>
        <item x="162"/>
        <item x="143"/>
      </items>
    </pivotField>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items count="3">
        <item x="0"/>
        <item x="1"/>
        <item x="2"/>
      </items>
    </pivotField>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Items count="1">
    <i/>
  </rowItems>
  <colFields count="1">
    <field x="-2"/>
  </colFields>
  <colItems count="2">
    <i>
      <x/>
    </i>
    <i i="1">
      <x v="1"/>
    </i>
  </colItems>
  <dataFields count="2">
    <dataField name="Sum of Total Sales" fld="18" baseField="0" baseItem="1" numFmtId="164"/>
    <dataField name="Sum of Total Profit" fld="19" baseField="0" baseItem="1" numFmtId="164"/>
  </dataFields>
  <formats count="7">
    <format dxfId="76">
      <pivotArea dataOnly="0" labelOnly="1" outline="0" fieldPosition="0">
        <references count="1">
          <reference field="4294967294" count="1">
            <x v="0"/>
          </reference>
        </references>
      </pivotArea>
    </format>
    <format dxfId="75">
      <pivotArea dataOnly="0" labelOnly="1" outline="0" fieldPosition="0">
        <references count="1">
          <reference field="4294967294" count="1">
            <x v="1"/>
          </reference>
        </references>
      </pivotArea>
    </format>
    <format dxfId="74">
      <pivotArea outline="0" collapsedLevelsAreSubtotals="1" fieldPosition="0">
        <references count="1">
          <reference field="4294967294" count="1" selected="0">
            <x v="0"/>
          </reference>
        </references>
      </pivotArea>
    </format>
    <format dxfId="73">
      <pivotArea outline="0" collapsedLevelsAreSubtotals="1" fieldPosition="0">
        <references count="1">
          <reference field="4294967294" count="1" selected="0">
            <x v="1"/>
          </reference>
        </references>
      </pivotArea>
    </format>
    <format dxfId="5">
      <pivotArea type="all" dataOnly="0" outline="0" fieldPosition="0"/>
    </format>
    <format dxfId="1">
      <pivotArea outline="0" collapsedLevelsAreSubtotals="1"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7ACBED-9358-48B8-8281-AA0DFB863D00}"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D9:F14" firstHeaderRow="0" firstDataRow="1" firstDataCol="1"/>
  <pivotFields count="29">
    <pivotField compact="0" outline="0" showAll="0"/>
    <pivotField compact="0" outline="0" showAll="0"/>
    <pivotField compact="0" numFmtId="14" outline="0" showAll="0">
      <items count="258">
        <item x="50"/>
        <item x="226"/>
        <item x="110"/>
        <item x="30"/>
        <item x="60"/>
        <item x="157"/>
        <item x="93"/>
        <item x="251"/>
        <item x="68"/>
        <item x="139"/>
        <item x="133"/>
        <item x="61"/>
        <item x="233"/>
        <item x="185"/>
        <item x="212"/>
        <item x="52"/>
        <item x="125"/>
        <item x="22"/>
        <item x="213"/>
        <item x="106"/>
        <item x="225"/>
        <item x="152"/>
        <item x="64"/>
        <item x="124"/>
        <item x="128"/>
        <item x="126"/>
        <item x="117"/>
        <item x="111"/>
        <item x="178"/>
        <item x="31"/>
        <item x="177"/>
        <item x="58"/>
        <item x="21"/>
        <item x="3"/>
        <item x="254"/>
        <item x="73"/>
        <item x="103"/>
        <item x="136"/>
        <item x="199"/>
        <item x="45"/>
        <item x="256"/>
        <item x="71"/>
        <item x="37"/>
        <item x="248"/>
        <item x="242"/>
        <item x="234"/>
        <item x="179"/>
        <item x="20"/>
        <item x="175"/>
        <item x="44"/>
        <item x="253"/>
        <item x="250"/>
        <item x="116"/>
        <item x="121"/>
        <item x="33"/>
        <item x="181"/>
        <item x="118"/>
        <item x="25"/>
        <item x="13"/>
        <item x="180"/>
        <item x="169"/>
        <item x="247"/>
        <item x="154"/>
        <item x="28"/>
        <item x="147"/>
        <item x="210"/>
        <item x="54"/>
        <item x="6"/>
        <item x="67"/>
        <item x="120"/>
        <item x="36"/>
        <item x="89"/>
        <item x="29"/>
        <item x="140"/>
        <item x="95"/>
        <item x="209"/>
        <item x="55"/>
        <item x="192"/>
        <item x="144"/>
        <item x="14"/>
        <item x="252"/>
        <item x="174"/>
        <item x="138"/>
        <item x="80"/>
        <item x="224"/>
        <item x="244"/>
        <item x="163"/>
        <item x="87"/>
        <item x="159"/>
        <item x="86"/>
        <item x="98"/>
        <item x="211"/>
        <item x="229"/>
        <item x="182"/>
        <item x="46"/>
        <item x="49"/>
        <item x="151"/>
        <item x="207"/>
        <item x="216"/>
        <item x="218"/>
        <item x="137"/>
        <item x="142"/>
        <item x="223"/>
        <item x="127"/>
        <item x="84"/>
        <item x="85"/>
        <item x="190"/>
        <item x="249"/>
        <item x="132"/>
        <item x="205"/>
        <item x="43"/>
        <item x="228"/>
        <item x="206"/>
        <item x="82"/>
        <item x="161"/>
        <item x="113"/>
        <item x="11"/>
        <item x="222"/>
        <item x="97"/>
        <item x="240"/>
        <item x="92"/>
        <item x="220"/>
        <item x="114"/>
        <item x="119"/>
        <item x="202"/>
        <item x="230"/>
        <item x="196"/>
        <item x="74"/>
        <item x="76"/>
        <item x="12"/>
        <item x="63"/>
        <item x="184"/>
        <item x="232"/>
        <item x="172"/>
        <item x="208"/>
        <item x="4"/>
        <item x="176"/>
        <item x="59"/>
        <item x="123"/>
        <item x="72"/>
        <item x="112"/>
        <item x="7"/>
        <item x="108"/>
        <item x="197"/>
        <item x="17"/>
        <item x="168"/>
        <item x="1"/>
        <item x="227"/>
        <item x="255"/>
        <item x="42"/>
        <item x="10"/>
        <item x="243"/>
        <item x="186"/>
        <item x="156"/>
        <item x="135"/>
        <item x="69"/>
        <item x="66"/>
        <item x="158"/>
        <item x="62"/>
        <item x="215"/>
        <item x="19"/>
        <item x="141"/>
        <item x="134"/>
        <item x="78"/>
        <item x="131"/>
        <item x="148"/>
        <item x="38"/>
        <item x="221"/>
        <item x="0"/>
        <item x="2"/>
        <item x="195"/>
        <item x="237"/>
        <item x="77"/>
        <item x="241"/>
        <item x="160"/>
        <item x="246"/>
        <item x="75"/>
        <item x="18"/>
        <item x="91"/>
        <item x="90"/>
        <item x="70"/>
        <item x="173"/>
        <item x="203"/>
        <item x="164"/>
        <item x="94"/>
        <item x="191"/>
        <item x="41"/>
        <item x="171"/>
        <item x="24"/>
        <item x="105"/>
        <item x="16"/>
        <item x="170"/>
        <item x="104"/>
        <item x="102"/>
        <item x="79"/>
        <item x="65"/>
        <item x="183"/>
        <item x="145"/>
        <item x="100"/>
        <item x="81"/>
        <item x="23"/>
        <item x="99"/>
        <item x="153"/>
        <item x="48"/>
        <item x="146"/>
        <item x="32"/>
        <item x="245"/>
        <item x="40"/>
        <item x="236"/>
        <item x="107"/>
        <item x="96"/>
        <item x="217"/>
        <item x="194"/>
        <item x="57"/>
        <item x="187"/>
        <item x="200"/>
        <item x="219"/>
        <item x="204"/>
        <item x="115"/>
        <item x="235"/>
        <item x="15"/>
        <item x="56"/>
        <item x="239"/>
        <item x="198"/>
        <item x="150"/>
        <item x="201"/>
        <item x="231"/>
        <item x="149"/>
        <item x="188"/>
        <item x="8"/>
        <item x="238"/>
        <item x="109"/>
        <item x="26"/>
        <item x="214"/>
        <item x="166"/>
        <item x="47"/>
        <item x="167"/>
        <item x="155"/>
        <item x="53"/>
        <item x="165"/>
        <item x="35"/>
        <item x="130"/>
        <item x="27"/>
        <item x="34"/>
        <item x="39"/>
        <item x="83"/>
        <item x="88"/>
        <item x="101"/>
        <item x="9"/>
        <item x="5"/>
        <item x="193"/>
        <item x="189"/>
        <item x="122"/>
        <item x="129"/>
        <item x="51"/>
        <item x="162"/>
        <item x="143"/>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sortType="descending">
      <items count="5">
        <item x="2"/>
        <item x="3"/>
        <item x="0"/>
        <item x="1"/>
        <item t="default"/>
      </items>
      <autoSortScope>
        <pivotArea dataOnly="0" outline="0" fieldPosition="0">
          <references count="1">
            <reference field="4294967294" count="1" selected="0">
              <x v="1"/>
            </reference>
          </references>
        </pivotArea>
      </autoSortScope>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12"/>
  </rowFields>
  <rowItems count="5">
    <i>
      <x v="3"/>
    </i>
    <i>
      <x v="1"/>
    </i>
    <i>
      <x/>
    </i>
    <i>
      <x v="2"/>
    </i>
    <i t="grand">
      <x/>
    </i>
  </rowItems>
  <colFields count="1">
    <field x="-2"/>
  </colFields>
  <colItems count="2">
    <i>
      <x/>
    </i>
    <i i="1">
      <x v="1"/>
    </i>
  </colItems>
  <dataFields count="2">
    <dataField name="Sum of Total Sales" fld="18" baseField="0" baseItem="0" numFmtId="164"/>
    <dataField name="Sum of Total Profit" fld="19" baseField="0" baseItem="0" numFmtId="164"/>
  </dataFields>
  <formats count="8">
    <format dxfId="55">
      <pivotArea outline="0" fieldPosition="0">
        <references count="2">
          <reference field="4294967294" count="1" selected="0">
            <x v="1"/>
          </reference>
          <reference field="12" count="1" selected="0">
            <x v="0"/>
          </reference>
        </references>
      </pivotArea>
    </format>
    <format dxfId="54">
      <pivotArea outline="0" fieldPosition="0">
        <references count="2">
          <reference field="4294967294" count="1" selected="0">
            <x v="1"/>
          </reference>
          <reference field="12" count="1" selected="0">
            <x v="2"/>
          </reference>
        </references>
      </pivotArea>
    </format>
    <format dxfId="53">
      <pivotArea type="all" dataOnly="0" outline="0" fieldPosition="0"/>
    </format>
    <format dxfId="52">
      <pivotArea outline="0" collapsedLevelsAreSubtotals="1" fieldPosition="0"/>
    </format>
    <format dxfId="51">
      <pivotArea field="12" type="button" dataOnly="0" labelOnly="1" outline="0" axis="axisRow" fieldPosition="0"/>
    </format>
    <format dxfId="50">
      <pivotArea dataOnly="0" labelOnly="1" outline="0" fieldPosition="0">
        <references count="1">
          <reference field="12" count="0"/>
        </references>
      </pivotArea>
    </format>
    <format dxfId="49">
      <pivotArea dataOnly="0" labelOnly="1" grandRow="1" outline="0" fieldPosition="0"/>
    </format>
    <format dxfId="48">
      <pivotArea dataOnly="0" labelOnly="1" outline="0" fieldPosition="0">
        <references count="1">
          <reference field="4294967294" count="2">
            <x v="0"/>
            <x v="1"/>
          </reference>
        </references>
      </pivotArea>
    </format>
  </formats>
  <chartFormats count="5">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3" format="4">
      <pivotArea type="data" outline="0" fieldPosition="0">
        <references count="2">
          <reference field="4294967294" count="1" selected="0">
            <x v="1"/>
          </reference>
          <reference field="12" count="1" selected="0">
            <x v="3"/>
          </reference>
        </references>
      </pivotArea>
    </chartFormat>
    <chartFormat chart="13" format="5">
      <pivotArea type="data" outline="0" fieldPosition="0">
        <references count="2">
          <reference field="4294967294" count="1" selected="0">
            <x v="1"/>
          </reference>
          <reference field="12" count="1" selected="0">
            <x v="0"/>
          </reference>
        </references>
      </pivotArea>
    </chartFormat>
    <chartFormat chart="13" format="6">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012901-BC49-4F4D-831E-E17F116750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7:F28" firstHeaderRow="0" firstDataRow="1" firstDataCol="1"/>
  <pivotFields count="29">
    <pivotField showAll="0"/>
    <pivotField showAll="0"/>
    <pivotField numFmtId="14" showAll="0">
      <items count="258">
        <item x="50"/>
        <item x="226"/>
        <item x="110"/>
        <item x="30"/>
        <item x="60"/>
        <item x="157"/>
        <item x="93"/>
        <item x="251"/>
        <item x="68"/>
        <item x="139"/>
        <item x="133"/>
        <item x="61"/>
        <item x="233"/>
        <item x="185"/>
        <item x="212"/>
        <item x="52"/>
        <item x="125"/>
        <item x="22"/>
        <item x="213"/>
        <item x="106"/>
        <item x="225"/>
        <item x="152"/>
        <item x="64"/>
        <item x="124"/>
        <item x="128"/>
        <item x="126"/>
        <item x="117"/>
        <item x="111"/>
        <item x="178"/>
        <item x="31"/>
        <item x="177"/>
        <item x="58"/>
        <item x="21"/>
        <item x="3"/>
        <item x="254"/>
        <item x="73"/>
        <item x="103"/>
        <item x="136"/>
        <item x="199"/>
        <item x="45"/>
        <item x="256"/>
        <item x="71"/>
        <item x="37"/>
        <item x="248"/>
        <item x="242"/>
        <item x="234"/>
        <item x="179"/>
        <item x="20"/>
        <item x="175"/>
        <item x="44"/>
        <item x="253"/>
        <item x="250"/>
        <item x="116"/>
        <item x="121"/>
        <item x="33"/>
        <item x="181"/>
        <item x="118"/>
        <item x="25"/>
        <item x="13"/>
        <item x="180"/>
        <item x="169"/>
        <item x="247"/>
        <item x="154"/>
        <item x="28"/>
        <item x="147"/>
        <item x="210"/>
        <item x="54"/>
        <item x="6"/>
        <item x="67"/>
        <item x="120"/>
        <item x="36"/>
        <item x="89"/>
        <item x="29"/>
        <item x="140"/>
        <item x="95"/>
        <item x="209"/>
        <item x="55"/>
        <item x="192"/>
        <item x="144"/>
        <item x="14"/>
        <item x="252"/>
        <item x="174"/>
        <item x="138"/>
        <item x="80"/>
        <item x="224"/>
        <item x="244"/>
        <item x="163"/>
        <item x="87"/>
        <item x="159"/>
        <item x="86"/>
        <item x="98"/>
        <item x="211"/>
        <item x="229"/>
        <item x="182"/>
        <item x="46"/>
        <item x="49"/>
        <item x="151"/>
        <item x="207"/>
        <item x="216"/>
        <item x="218"/>
        <item x="137"/>
        <item x="142"/>
        <item x="223"/>
        <item x="127"/>
        <item x="84"/>
        <item x="85"/>
        <item x="190"/>
        <item x="249"/>
        <item x="132"/>
        <item x="205"/>
        <item x="43"/>
        <item x="228"/>
        <item x="206"/>
        <item x="82"/>
        <item x="161"/>
        <item x="113"/>
        <item x="11"/>
        <item x="222"/>
        <item x="97"/>
        <item x="240"/>
        <item x="92"/>
        <item x="220"/>
        <item x="114"/>
        <item x="119"/>
        <item x="202"/>
        <item x="230"/>
        <item x="196"/>
        <item x="74"/>
        <item x="76"/>
        <item x="12"/>
        <item x="63"/>
        <item x="184"/>
        <item x="232"/>
        <item x="172"/>
        <item x="208"/>
        <item x="4"/>
        <item x="176"/>
        <item x="59"/>
        <item x="123"/>
        <item x="72"/>
        <item x="112"/>
        <item x="7"/>
        <item x="108"/>
        <item x="197"/>
        <item x="17"/>
        <item x="168"/>
        <item x="1"/>
        <item x="227"/>
        <item x="255"/>
        <item x="42"/>
        <item x="10"/>
        <item x="243"/>
        <item x="186"/>
        <item x="156"/>
        <item x="135"/>
        <item x="69"/>
        <item x="66"/>
        <item x="158"/>
        <item x="62"/>
        <item x="215"/>
        <item x="19"/>
        <item x="141"/>
        <item x="134"/>
        <item x="78"/>
        <item x="131"/>
        <item x="148"/>
        <item x="38"/>
        <item x="221"/>
        <item x="0"/>
        <item x="2"/>
        <item x="195"/>
        <item x="237"/>
        <item x="77"/>
        <item x="241"/>
        <item x="160"/>
        <item x="246"/>
        <item x="75"/>
        <item x="18"/>
        <item x="91"/>
        <item x="90"/>
        <item x="70"/>
        <item x="173"/>
        <item x="203"/>
        <item x="164"/>
        <item x="94"/>
        <item x="191"/>
        <item x="41"/>
        <item x="171"/>
        <item x="24"/>
        <item x="105"/>
        <item x="16"/>
        <item x="170"/>
        <item x="104"/>
        <item x="102"/>
        <item x="79"/>
        <item x="65"/>
        <item x="183"/>
        <item x="145"/>
        <item x="100"/>
        <item x="81"/>
        <item x="23"/>
        <item x="99"/>
        <item x="153"/>
        <item x="48"/>
        <item x="146"/>
        <item x="32"/>
        <item x="245"/>
        <item x="40"/>
        <item x="236"/>
        <item x="107"/>
        <item x="96"/>
        <item x="217"/>
        <item x="194"/>
        <item x="57"/>
        <item x="187"/>
        <item x="200"/>
        <item x="219"/>
        <item x="204"/>
        <item x="115"/>
        <item x="235"/>
        <item x="15"/>
        <item x="56"/>
        <item x="239"/>
        <item x="198"/>
        <item x="150"/>
        <item x="201"/>
        <item x="231"/>
        <item x="149"/>
        <item x="188"/>
        <item x="8"/>
        <item x="238"/>
        <item x="109"/>
        <item x="26"/>
        <item x="214"/>
        <item x="166"/>
        <item x="47"/>
        <item x="167"/>
        <item x="155"/>
        <item x="53"/>
        <item x="165"/>
        <item x="35"/>
        <item x="130"/>
        <item x="27"/>
        <item x="34"/>
        <item x="39"/>
        <item x="83"/>
        <item x="88"/>
        <item x="101"/>
        <item x="9"/>
        <item x="5"/>
        <item x="193"/>
        <item x="189"/>
        <item x="122"/>
        <item x="129"/>
        <item x="51"/>
        <item x="162"/>
        <item x="14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4">
        <item x="0"/>
        <item x="1"/>
        <item x="2"/>
        <item t="default"/>
      </items>
    </pivotField>
    <pivotField axis="axisRow" showAll="0">
      <items count="18">
        <item x="11"/>
        <item x="8"/>
        <item x="3"/>
        <item x="1"/>
        <item x="0"/>
        <item x="12"/>
        <item x="16"/>
        <item x="5"/>
        <item x="14"/>
        <item x="7"/>
        <item x="10"/>
        <item x="13"/>
        <item x="4"/>
        <item x="2"/>
        <item x="6"/>
        <item x="15"/>
        <item x="9"/>
        <item t="default"/>
      </items>
    </pivotField>
    <pivotField showAll="0"/>
    <pivotField dataField="1" showAll="0"/>
    <pivotField dataField="1"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15"/>
    <field x="16"/>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 Sales" fld="18" baseField="15" baseItem="0" numFmtId="164"/>
    <dataField name="Profit" fld="19" baseField="0" baseItem="0" numFmtId="164"/>
  </dataFields>
  <formats count="16">
    <format dxfId="47">
      <pivotArea type="all" dataOnly="0" outline="0" fieldPosition="0"/>
    </format>
    <format dxfId="46">
      <pivotArea collapsedLevelsAreSubtotals="1" fieldPosition="0">
        <references count="3">
          <reference field="4294967294" count="1" selected="0">
            <x v="1"/>
          </reference>
          <reference field="15" count="1" selected="0">
            <x v="0"/>
          </reference>
          <reference field="16" count="1">
            <x v="4"/>
          </reference>
        </references>
      </pivotArea>
    </format>
    <format dxfId="45">
      <pivotArea collapsedLevelsAreSubtotals="1" fieldPosition="0">
        <references count="3">
          <reference field="4294967294" count="1" selected="0">
            <x v="1"/>
          </reference>
          <reference field="15" count="1" selected="0">
            <x v="0"/>
          </reference>
          <reference field="16" count="1">
            <x v="16"/>
          </reference>
        </references>
      </pivotArea>
    </format>
    <format dxfId="44">
      <pivotArea collapsedLevelsAreSubtotals="1" fieldPosition="0">
        <references count="3">
          <reference field="4294967294" count="1" selected="0">
            <x v="1"/>
          </reference>
          <reference field="15" count="1" selected="0">
            <x v="1"/>
          </reference>
          <reference field="16" count="1">
            <x v="1"/>
          </reference>
        </references>
      </pivotArea>
    </format>
    <format dxfId="43">
      <pivotArea collapsedLevelsAreSubtotals="1" fieldPosition="0">
        <references count="3">
          <reference field="4294967294" count="1" selected="0">
            <x v="1"/>
          </reference>
          <reference field="15" count="1" selected="0">
            <x v="1"/>
          </reference>
          <reference field="16" count="1">
            <x v="15"/>
          </reference>
        </references>
      </pivotArea>
    </format>
    <format dxfId="42">
      <pivotArea collapsedLevelsAreSubtotals="1" fieldPosition="0">
        <references count="3">
          <reference field="4294967294" count="1" selected="0">
            <x v="1"/>
          </reference>
          <reference field="15" count="1" selected="0">
            <x v="2"/>
          </reference>
          <reference field="16" count="1">
            <x v="11"/>
          </reference>
        </references>
      </pivotArea>
    </format>
    <format dxfId="41">
      <pivotArea collapsedLevelsAreSubtotals="1" fieldPosition="0">
        <references count="2">
          <reference field="4294967294" count="1" selected="0">
            <x v="1"/>
          </reference>
          <reference field="15" count="1">
            <x v="2"/>
          </reference>
        </references>
      </pivotArea>
    </format>
    <format dxfId="40">
      <pivotArea type="all" dataOnly="0" outline="0" fieldPosition="0"/>
    </format>
    <format dxfId="39">
      <pivotArea outline="0" collapsedLevelsAreSubtotals="1" fieldPosition="0"/>
    </format>
    <format dxfId="38">
      <pivotArea field="15" type="button" dataOnly="0" labelOnly="1" outline="0" axis="axisRow" fieldPosition="0"/>
    </format>
    <format dxfId="37">
      <pivotArea dataOnly="0" labelOnly="1" fieldPosition="0">
        <references count="1">
          <reference field="15" count="0"/>
        </references>
      </pivotArea>
    </format>
    <format dxfId="36">
      <pivotArea dataOnly="0" labelOnly="1" grandRow="1" outline="0" fieldPosition="0"/>
    </format>
    <format dxfId="35">
      <pivotArea dataOnly="0" labelOnly="1" fieldPosition="0">
        <references count="2">
          <reference field="15" count="1" selected="0">
            <x v="0"/>
          </reference>
          <reference field="16" count="4">
            <x v="4"/>
            <x v="5"/>
            <x v="9"/>
            <x v="16"/>
          </reference>
        </references>
      </pivotArea>
    </format>
    <format dxfId="34">
      <pivotArea dataOnly="0" labelOnly="1" fieldPosition="0">
        <references count="2">
          <reference field="15" count="1" selected="0">
            <x v="1"/>
          </reference>
          <reference field="16" count="9">
            <x v="1"/>
            <x v="2"/>
            <x v="3"/>
            <x v="7"/>
            <x v="8"/>
            <x v="10"/>
            <x v="12"/>
            <x v="14"/>
            <x v="15"/>
          </reference>
        </references>
      </pivotArea>
    </format>
    <format dxfId="33">
      <pivotArea dataOnly="0" labelOnly="1" fieldPosition="0">
        <references count="2">
          <reference field="15" count="1" selected="0">
            <x v="2"/>
          </reference>
          <reference field="16" count="4">
            <x v="0"/>
            <x v="6"/>
            <x v="11"/>
            <x v="13"/>
          </reference>
        </references>
      </pivotArea>
    </format>
    <format dxfId="32">
      <pivotArea dataOnly="0" labelOnly="1" outline="0" fieldPosition="0">
        <references count="1">
          <reference field="4294967294" count="2">
            <x v="0"/>
            <x v="1"/>
          </reference>
        </references>
      </pivotArea>
    </format>
  </formats>
  <chartFormats count="9">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2" format="4">
      <pivotArea type="data" outline="0" fieldPosition="0">
        <references count="3">
          <reference field="4294967294" count="1" selected="0">
            <x v="1"/>
          </reference>
          <reference field="15" count="1" selected="0">
            <x v="0"/>
          </reference>
          <reference field="16" count="1" selected="0">
            <x v="4"/>
          </reference>
        </references>
      </pivotArea>
    </chartFormat>
    <chartFormat chart="2" format="5">
      <pivotArea type="data" outline="0" fieldPosition="0">
        <references count="3">
          <reference field="4294967294" count="1" selected="0">
            <x v="1"/>
          </reference>
          <reference field="15" count="1" selected="0">
            <x v="0"/>
          </reference>
          <reference field="16" count="1" selected="0">
            <x v="16"/>
          </reference>
        </references>
      </pivotArea>
    </chartFormat>
    <chartFormat chart="2" format="6">
      <pivotArea type="data" outline="0" fieldPosition="0">
        <references count="3">
          <reference field="4294967294" count="1" selected="0">
            <x v="1"/>
          </reference>
          <reference field="15" count="1" selected="0">
            <x v="1"/>
          </reference>
          <reference field="16" count="1" selected="0">
            <x v="1"/>
          </reference>
        </references>
      </pivotArea>
    </chartFormat>
    <chartFormat chart="2" format="7">
      <pivotArea type="data" outline="0" fieldPosition="0">
        <references count="3">
          <reference field="4294967294" count="1" selected="0">
            <x v="1"/>
          </reference>
          <reference field="15" count="1" selected="0">
            <x v="1"/>
          </reference>
          <reference field="16" count="1" selected="0">
            <x v="15"/>
          </reference>
        </references>
      </pivotArea>
    </chartFormat>
    <chartFormat chart="2" format="8">
      <pivotArea type="data" outline="0" fieldPosition="0">
        <references count="3">
          <reference field="4294967294" count="1" selected="0">
            <x v="1"/>
          </reference>
          <reference field="15" count="1" selected="0">
            <x v="2"/>
          </reference>
          <reference field="16" count="1" selected="0">
            <x v="11"/>
          </reference>
        </references>
      </pivotArea>
    </chartFormat>
    <chartFormat chart="2" format="9">
      <pivotArea type="data" outline="0" fieldPosition="0">
        <references count="3">
          <reference field="4294967294" count="1" selected="0">
            <x v="1"/>
          </reference>
          <reference field="15" count="1" selected="0">
            <x v="1"/>
          </reference>
          <reference field="16" count="1" selected="0">
            <x v="7"/>
          </reference>
        </references>
      </pivotArea>
    </chartFormat>
    <chartFormat chart="2" format="10">
      <pivotArea type="data" outline="0" fieldPosition="0">
        <references count="3">
          <reference field="4294967294" count="1" selected="0">
            <x v="0"/>
          </reference>
          <reference field="15" count="1" selected="0">
            <x v="1"/>
          </reference>
          <reference field="1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AA616E-2D03-4B78-971F-0A8E6118351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iscount">
  <location ref="C6:E16" firstHeaderRow="0" firstDataRow="1" firstDataCol="1"/>
  <pivotFields count="29">
    <pivotField showAll="0"/>
    <pivotField showAll="0"/>
    <pivotField numFmtId="14" showAll="0">
      <items count="258">
        <item x="50"/>
        <item x="226"/>
        <item x="110"/>
        <item x="30"/>
        <item x="60"/>
        <item x="157"/>
        <item x="93"/>
        <item x="251"/>
        <item x="68"/>
        <item x="139"/>
        <item x="133"/>
        <item x="61"/>
        <item x="233"/>
        <item x="185"/>
        <item x="212"/>
        <item x="52"/>
        <item x="125"/>
        <item x="22"/>
        <item x="213"/>
        <item x="106"/>
        <item x="225"/>
        <item x="152"/>
        <item x="64"/>
        <item x="124"/>
        <item x="128"/>
        <item x="126"/>
        <item x="117"/>
        <item x="111"/>
        <item x="178"/>
        <item x="31"/>
        <item x="177"/>
        <item x="58"/>
        <item x="21"/>
        <item x="3"/>
        <item x="254"/>
        <item x="73"/>
        <item x="103"/>
        <item x="136"/>
        <item x="199"/>
        <item x="45"/>
        <item x="256"/>
        <item x="71"/>
        <item x="37"/>
        <item x="248"/>
        <item x="242"/>
        <item x="234"/>
        <item x="179"/>
        <item x="20"/>
        <item x="175"/>
        <item x="44"/>
        <item x="253"/>
        <item x="250"/>
        <item x="116"/>
        <item x="121"/>
        <item x="33"/>
        <item x="181"/>
        <item x="118"/>
        <item x="25"/>
        <item x="13"/>
        <item x="180"/>
        <item x="169"/>
        <item x="247"/>
        <item x="154"/>
        <item x="28"/>
        <item x="147"/>
        <item x="210"/>
        <item x="54"/>
        <item x="6"/>
        <item x="67"/>
        <item x="120"/>
        <item x="36"/>
        <item x="89"/>
        <item x="29"/>
        <item x="140"/>
        <item x="95"/>
        <item x="209"/>
        <item x="55"/>
        <item x="192"/>
        <item x="144"/>
        <item x="14"/>
        <item x="252"/>
        <item x="174"/>
        <item x="138"/>
        <item x="80"/>
        <item x="224"/>
        <item x="244"/>
        <item x="163"/>
        <item x="87"/>
        <item x="159"/>
        <item x="86"/>
        <item x="98"/>
        <item x="211"/>
        <item x="229"/>
        <item x="182"/>
        <item x="46"/>
        <item x="49"/>
        <item x="151"/>
        <item x="207"/>
        <item x="216"/>
        <item x="218"/>
        <item x="137"/>
        <item x="142"/>
        <item x="223"/>
        <item x="127"/>
        <item x="84"/>
        <item x="85"/>
        <item x="190"/>
        <item x="249"/>
        <item x="132"/>
        <item x="205"/>
        <item x="43"/>
        <item x="228"/>
        <item x="206"/>
        <item x="82"/>
        <item x="161"/>
        <item x="113"/>
        <item x="11"/>
        <item x="222"/>
        <item x="97"/>
        <item x="240"/>
        <item x="92"/>
        <item x="220"/>
        <item x="114"/>
        <item x="119"/>
        <item x="202"/>
        <item x="230"/>
        <item x="196"/>
        <item x="74"/>
        <item x="76"/>
        <item x="12"/>
        <item x="63"/>
        <item x="184"/>
        <item x="232"/>
        <item x="172"/>
        <item x="208"/>
        <item x="4"/>
        <item x="176"/>
        <item x="59"/>
        <item x="123"/>
        <item x="72"/>
        <item x="112"/>
        <item x="7"/>
        <item x="108"/>
        <item x="197"/>
        <item x="17"/>
        <item x="168"/>
        <item x="1"/>
        <item x="227"/>
        <item x="255"/>
        <item x="42"/>
        <item x="10"/>
        <item x="243"/>
        <item x="186"/>
        <item x="156"/>
        <item x="135"/>
        <item x="69"/>
        <item x="66"/>
        <item x="158"/>
        <item x="62"/>
        <item x="215"/>
        <item x="19"/>
        <item x="141"/>
        <item x="134"/>
        <item x="78"/>
        <item x="131"/>
        <item x="148"/>
        <item x="38"/>
        <item x="221"/>
        <item x="0"/>
        <item x="2"/>
        <item x="195"/>
        <item x="237"/>
        <item x="77"/>
        <item x="241"/>
        <item x="160"/>
        <item x="246"/>
        <item x="75"/>
        <item x="18"/>
        <item x="91"/>
        <item x="90"/>
        <item x="70"/>
        <item x="173"/>
        <item x="203"/>
        <item x="164"/>
        <item x="94"/>
        <item x="191"/>
        <item x="41"/>
        <item x="171"/>
        <item x="24"/>
        <item x="105"/>
        <item x="16"/>
        <item x="170"/>
        <item x="104"/>
        <item x="102"/>
        <item x="79"/>
        <item x="65"/>
        <item x="183"/>
        <item x="145"/>
        <item x="100"/>
        <item x="81"/>
        <item x="23"/>
        <item x="99"/>
        <item x="153"/>
        <item x="48"/>
        <item x="146"/>
        <item x="32"/>
        <item x="245"/>
        <item x="40"/>
        <item x="236"/>
        <item x="107"/>
        <item x="96"/>
        <item x="217"/>
        <item x="194"/>
        <item x="57"/>
        <item x="187"/>
        <item x="200"/>
        <item x="219"/>
        <item x="204"/>
        <item x="115"/>
        <item x="235"/>
        <item x="15"/>
        <item x="56"/>
        <item x="239"/>
        <item x="198"/>
        <item x="150"/>
        <item x="201"/>
        <item x="231"/>
        <item x="149"/>
        <item x="188"/>
        <item x="8"/>
        <item x="238"/>
        <item x="109"/>
        <item x="26"/>
        <item x="214"/>
        <item x="166"/>
        <item x="47"/>
        <item x="167"/>
        <item x="155"/>
        <item x="53"/>
        <item x="165"/>
        <item x="35"/>
        <item x="130"/>
        <item x="27"/>
        <item x="34"/>
        <item x="39"/>
        <item x="83"/>
        <item x="88"/>
        <item x="101"/>
        <item x="9"/>
        <item x="5"/>
        <item x="193"/>
        <item x="189"/>
        <item x="122"/>
        <item x="129"/>
        <item x="51"/>
        <item x="162"/>
        <item x="14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dataField="1" showAll="0"/>
    <pivotField dataField="1"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2"/>
  </rowFields>
  <rowItems count="10">
    <i>
      <x v="1"/>
    </i>
    <i>
      <x v="2"/>
    </i>
    <i>
      <x v="3"/>
    </i>
    <i>
      <x v="4"/>
    </i>
    <i>
      <x v="5"/>
    </i>
    <i>
      <x v="6"/>
    </i>
    <i>
      <x v="7"/>
    </i>
    <i>
      <x v="8"/>
    </i>
    <i>
      <x v="9"/>
    </i>
    <i t="grand">
      <x/>
    </i>
  </rowItems>
  <colFields count="1">
    <field x="-2"/>
  </colFields>
  <colItems count="2">
    <i>
      <x/>
    </i>
    <i i="1">
      <x v="1"/>
    </i>
  </colItems>
  <dataFields count="2">
    <dataField name="Sum of Total Sales" fld="18" baseField="0" baseItem="0" numFmtId="164"/>
    <dataField name="Sum of Total Profit" fld="19" baseField="0" baseItem="0" numFmtId="164"/>
  </dataFields>
  <formats count="15">
    <format dxfId="31">
      <pivotArea dataOnly="0" labelOnly="1" fieldPosition="0">
        <references count="1">
          <reference field="22" count="1">
            <x v="1"/>
          </reference>
        </references>
      </pivotArea>
    </format>
    <format dxfId="30">
      <pivotArea outline="0" fieldPosition="0">
        <references count="1">
          <reference field="4294967294" count="1">
            <x v="0"/>
          </reference>
        </references>
      </pivotArea>
    </format>
    <format dxfId="29">
      <pivotArea outline="0" fieldPosition="0">
        <references count="1">
          <reference field="4294967294" count="1">
            <x v="1"/>
          </reference>
        </references>
      </pivotArea>
    </format>
    <format dxfId="28">
      <pivotArea collapsedLevelsAreSubtotals="1" fieldPosition="0">
        <references count="2">
          <reference field="4294967294" count="1" selected="0">
            <x v="1"/>
          </reference>
          <reference field="22" count="1">
            <x v="4"/>
          </reference>
        </references>
      </pivotArea>
    </format>
    <format dxfId="27">
      <pivotArea collapsedLevelsAreSubtotals="1" fieldPosition="0">
        <references count="2">
          <reference field="4294967294" count="1" selected="0">
            <x v="1"/>
          </reference>
          <reference field="22" count="1">
            <x v="5"/>
          </reference>
        </references>
      </pivotArea>
    </format>
    <format dxfId="26">
      <pivotArea collapsedLevelsAreSubtotals="1" fieldPosition="0">
        <references count="2">
          <reference field="4294967294" count="1" selected="0">
            <x v="1"/>
          </reference>
          <reference field="22" count="1">
            <x v="6"/>
          </reference>
        </references>
      </pivotArea>
    </format>
    <format dxfId="25">
      <pivotArea collapsedLevelsAreSubtotals="1" fieldPosition="0">
        <references count="2">
          <reference field="4294967294" count="1" selected="0">
            <x v="1"/>
          </reference>
          <reference field="22" count="1">
            <x v="7"/>
          </reference>
        </references>
      </pivotArea>
    </format>
    <format dxfId="24">
      <pivotArea collapsedLevelsAreSubtotals="1" fieldPosition="0">
        <references count="2">
          <reference field="4294967294" count="1" selected="0">
            <x v="1"/>
          </reference>
          <reference field="22" count="1">
            <x v="8"/>
          </reference>
        </references>
      </pivotArea>
    </format>
    <format dxfId="23">
      <pivotArea collapsedLevelsAreSubtotals="1" fieldPosition="0">
        <references count="2">
          <reference field="4294967294" count="1" selected="0">
            <x v="1"/>
          </reference>
          <reference field="22" count="1">
            <x v="9"/>
          </reference>
        </references>
      </pivotArea>
    </format>
    <format dxfId="22">
      <pivotArea type="all" dataOnly="0" outline="0" fieldPosition="0"/>
    </format>
    <format dxfId="21">
      <pivotArea outline="0" collapsedLevelsAreSubtotals="1" fieldPosition="0"/>
    </format>
    <format dxfId="20">
      <pivotArea field="22" type="button" dataOnly="0" labelOnly="1" outline="0" axis="axisRow" fieldPosition="0"/>
    </format>
    <format dxfId="19">
      <pivotArea dataOnly="0" labelOnly="1" fieldPosition="0">
        <references count="1">
          <reference field="22" count="9">
            <x v="1"/>
            <x v="2"/>
            <x v="3"/>
            <x v="4"/>
            <x v="5"/>
            <x v="6"/>
            <x v="7"/>
            <x v="8"/>
            <x v="9"/>
          </reference>
        </references>
      </pivotArea>
    </format>
    <format dxfId="18">
      <pivotArea dataOnly="0" labelOnly="1" grandRow="1" outline="0" fieldPosition="0"/>
    </format>
    <format dxfId="17">
      <pivotArea dataOnly="0" labelOnly="1" outline="0" fieldPosition="0">
        <references count="1">
          <reference field="4294967294" count="2">
            <x v="0"/>
            <x v="1"/>
          </reference>
        </references>
      </pivotArea>
    </format>
  </formats>
  <chartFormats count="11">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22" count="1" selected="0">
            <x v="2"/>
          </reference>
        </references>
      </pivotArea>
    </chartFormat>
    <chartFormat chart="2" format="7">
      <pivotArea type="data" outline="0" fieldPosition="0">
        <references count="2">
          <reference field="4294967294" count="1" selected="0">
            <x v="1"/>
          </reference>
          <reference field="22" count="1" selected="0">
            <x v="1"/>
          </reference>
        </references>
      </pivotArea>
    </chartFormat>
    <chartFormat chart="2" format="8">
      <pivotArea type="data" outline="0" fieldPosition="0">
        <references count="2">
          <reference field="4294967294" count="1" selected="0">
            <x v="1"/>
          </reference>
          <reference field="22" count="1" selected="0">
            <x v="3"/>
          </reference>
        </references>
      </pivotArea>
    </chartFormat>
    <chartFormat chart="2" format="9">
      <pivotArea type="data" outline="0" fieldPosition="0">
        <references count="2">
          <reference field="4294967294" count="1" selected="0">
            <x v="1"/>
          </reference>
          <reference field="22" count="1" selected="0">
            <x v="4"/>
          </reference>
        </references>
      </pivotArea>
    </chartFormat>
    <chartFormat chart="2" format="10">
      <pivotArea type="data" outline="0" fieldPosition="0">
        <references count="2">
          <reference field="4294967294" count="1" selected="0">
            <x v="1"/>
          </reference>
          <reference field="22" count="1" selected="0">
            <x v="5"/>
          </reference>
        </references>
      </pivotArea>
    </chartFormat>
    <chartFormat chart="2" format="11">
      <pivotArea type="data" outline="0" fieldPosition="0">
        <references count="2">
          <reference field="4294967294" count="1" selected="0">
            <x v="1"/>
          </reference>
          <reference field="22" count="1" selected="0">
            <x v="6"/>
          </reference>
        </references>
      </pivotArea>
    </chartFormat>
    <chartFormat chart="2" format="12">
      <pivotArea type="data" outline="0" fieldPosition="0">
        <references count="2">
          <reference field="4294967294" count="1" selected="0">
            <x v="1"/>
          </reference>
          <reference field="22" count="1" selected="0">
            <x v="7"/>
          </reference>
        </references>
      </pivotArea>
    </chartFormat>
    <chartFormat chart="2" format="13">
      <pivotArea type="data" outline="0" fieldPosition="0">
        <references count="2">
          <reference field="4294967294" count="1" selected="0">
            <x v="1"/>
          </reference>
          <reference field="22" count="1" selected="0">
            <x v="8"/>
          </reference>
        </references>
      </pivotArea>
    </chartFormat>
    <chartFormat chart="2" format="14">
      <pivotArea type="data" outline="0" fieldPosition="0">
        <references count="2">
          <reference field="4294967294" count="1" selected="0">
            <x v="1"/>
          </reference>
          <reference field="2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36118E-FF53-4A53-8736-87BEDBB7F8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5:D55" firstHeaderRow="0" firstDataRow="1" firstDataCol="1"/>
  <pivotFields count="29">
    <pivotField showAll="0"/>
    <pivotField showAll="0"/>
    <pivotField numFmtId="14" showAll="0">
      <items count="258">
        <item x="50"/>
        <item x="226"/>
        <item x="110"/>
        <item x="30"/>
        <item x="60"/>
        <item x="157"/>
        <item x="93"/>
        <item x="251"/>
        <item x="68"/>
        <item x="139"/>
        <item x="133"/>
        <item x="61"/>
        <item x="233"/>
        <item x="185"/>
        <item x="212"/>
        <item x="52"/>
        <item x="125"/>
        <item x="22"/>
        <item x="213"/>
        <item x="106"/>
        <item x="225"/>
        <item x="152"/>
        <item x="64"/>
        <item x="124"/>
        <item x="128"/>
        <item x="126"/>
        <item x="117"/>
        <item x="111"/>
        <item x="178"/>
        <item x="31"/>
        <item x="177"/>
        <item x="58"/>
        <item x="21"/>
        <item x="3"/>
        <item x="254"/>
        <item x="73"/>
        <item x="103"/>
        <item x="136"/>
        <item x="199"/>
        <item x="45"/>
        <item x="256"/>
        <item x="71"/>
        <item x="37"/>
        <item x="248"/>
        <item x="242"/>
        <item x="234"/>
        <item x="179"/>
        <item x="20"/>
        <item x="175"/>
        <item x="44"/>
        <item x="253"/>
        <item x="250"/>
        <item x="116"/>
        <item x="121"/>
        <item x="33"/>
        <item x="181"/>
        <item x="118"/>
        <item x="25"/>
        <item x="13"/>
        <item x="180"/>
        <item x="169"/>
        <item x="247"/>
        <item x="154"/>
        <item x="28"/>
        <item x="147"/>
        <item x="210"/>
        <item x="54"/>
        <item x="6"/>
        <item x="67"/>
        <item x="120"/>
        <item x="36"/>
        <item x="89"/>
        <item x="29"/>
        <item x="140"/>
        <item x="95"/>
        <item x="209"/>
        <item x="55"/>
        <item x="192"/>
        <item x="144"/>
        <item x="14"/>
        <item x="252"/>
        <item x="174"/>
        <item x="138"/>
        <item x="80"/>
        <item x="224"/>
        <item x="244"/>
        <item x="163"/>
        <item x="87"/>
        <item x="159"/>
        <item x="86"/>
        <item x="98"/>
        <item x="211"/>
        <item x="229"/>
        <item x="182"/>
        <item x="46"/>
        <item x="49"/>
        <item x="151"/>
        <item x="207"/>
        <item x="216"/>
        <item x="218"/>
        <item x="137"/>
        <item x="142"/>
        <item x="223"/>
        <item x="127"/>
        <item x="84"/>
        <item x="85"/>
        <item x="190"/>
        <item x="249"/>
        <item x="132"/>
        <item x="205"/>
        <item x="43"/>
        <item x="228"/>
        <item x="206"/>
        <item x="82"/>
        <item x="161"/>
        <item x="113"/>
        <item x="11"/>
        <item x="222"/>
        <item x="97"/>
        <item x="240"/>
        <item x="92"/>
        <item x="220"/>
        <item x="114"/>
        <item x="119"/>
        <item x="202"/>
        <item x="230"/>
        <item x="196"/>
        <item x="74"/>
        <item x="76"/>
        <item x="12"/>
        <item x="63"/>
        <item x="184"/>
        <item x="232"/>
        <item x="172"/>
        <item x="208"/>
        <item x="4"/>
        <item x="176"/>
        <item x="59"/>
        <item x="123"/>
        <item x="72"/>
        <item x="112"/>
        <item x="7"/>
        <item x="108"/>
        <item x="197"/>
        <item x="17"/>
        <item x="168"/>
        <item x="1"/>
        <item x="227"/>
        <item x="255"/>
        <item x="42"/>
        <item x="10"/>
        <item x="243"/>
        <item x="186"/>
        <item x="156"/>
        <item x="135"/>
        <item x="69"/>
        <item x="66"/>
        <item x="158"/>
        <item x="62"/>
        <item x="215"/>
        <item x="19"/>
        <item x="141"/>
        <item x="134"/>
        <item x="78"/>
        <item x="131"/>
        <item x="148"/>
        <item x="38"/>
        <item x="221"/>
        <item x="0"/>
        <item x="2"/>
        <item x="195"/>
        <item x="237"/>
        <item x="77"/>
        <item x="241"/>
        <item x="160"/>
        <item x="246"/>
        <item x="75"/>
        <item x="18"/>
        <item x="91"/>
        <item x="90"/>
        <item x="70"/>
        <item x="173"/>
        <item x="203"/>
        <item x="164"/>
        <item x="94"/>
        <item x="191"/>
        <item x="41"/>
        <item x="171"/>
        <item x="24"/>
        <item x="105"/>
        <item x="16"/>
        <item x="170"/>
        <item x="104"/>
        <item x="102"/>
        <item x="79"/>
        <item x="65"/>
        <item x="183"/>
        <item x="145"/>
        <item x="100"/>
        <item x="81"/>
        <item x="23"/>
        <item x="99"/>
        <item x="153"/>
        <item x="48"/>
        <item x="146"/>
        <item x="32"/>
        <item x="245"/>
        <item x="40"/>
        <item x="236"/>
        <item x="107"/>
        <item x="96"/>
        <item x="217"/>
        <item x="194"/>
        <item x="57"/>
        <item x="187"/>
        <item x="200"/>
        <item x="219"/>
        <item x="204"/>
        <item x="115"/>
        <item x="235"/>
        <item x="15"/>
        <item x="56"/>
        <item x="239"/>
        <item x="198"/>
        <item x="150"/>
        <item x="201"/>
        <item x="231"/>
        <item x="149"/>
        <item x="188"/>
        <item x="8"/>
        <item x="238"/>
        <item x="109"/>
        <item x="26"/>
        <item x="214"/>
        <item x="166"/>
        <item x="47"/>
        <item x="167"/>
        <item x="155"/>
        <item x="53"/>
        <item x="165"/>
        <item x="35"/>
        <item x="130"/>
        <item x="27"/>
        <item x="34"/>
        <item x="39"/>
        <item x="83"/>
        <item x="88"/>
        <item x="101"/>
        <item x="9"/>
        <item x="5"/>
        <item x="193"/>
        <item x="189"/>
        <item x="122"/>
        <item x="129"/>
        <item x="51"/>
        <item x="162"/>
        <item x="14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dataField="1" showAll="0"/>
    <pivotField dataField="1" showAll="0"/>
    <pivotField showAll="0"/>
    <pivotField showAll="0"/>
    <pivotField showAll="0"/>
    <pivotField showAll="0">
      <items count="5">
        <item x="1"/>
        <item x="3"/>
        <item x="0"/>
        <item x="2"/>
        <item t="default"/>
      </items>
    </pivotField>
    <pivotField showAll="0">
      <items count="13">
        <item x="6"/>
        <item x="7"/>
        <item x="4"/>
        <item x="2"/>
        <item x="1"/>
        <item x="5"/>
        <item x="9"/>
        <item x="0"/>
        <item x="3"/>
        <item x="10"/>
        <item x="8"/>
        <item x="11"/>
        <item t="default"/>
      </items>
    </pivotField>
    <pivotField showAll="0">
      <items count="13">
        <item x="6"/>
        <item x="7"/>
        <item x="4"/>
        <item x="2"/>
        <item x="1"/>
        <item x="5"/>
        <item x="9"/>
        <item x="0"/>
        <item x="3"/>
        <item x="10"/>
        <item x="8"/>
        <item x="11"/>
        <item t="default"/>
      </items>
    </pivotField>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8"/>
    <field x="27"/>
  </rowFields>
  <rowItems count="50">
    <i>
      <x v="1"/>
    </i>
    <i r="1">
      <x v="1"/>
    </i>
    <i r="1">
      <x v="2"/>
    </i>
    <i r="1">
      <x v="3"/>
    </i>
    <i r="1">
      <x v="4"/>
    </i>
    <i r="1">
      <x v="5"/>
    </i>
    <i r="1">
      <x v="6"/>
    </i>
    <i r="1">
      <x v="7"/>
    </i>
    <i r="1">
      <x v="8"/>
    </i>
    <i r="1">
      <x v="9"/>
    </i>
    <i r="1">
      <x v="10"/>
    </i>
    <i>
      <x v="2"/>
    </i>
    <i r="1">
      <x v="1"/>
    </i>
    <i r="1">
      <x v="2"/>
    </i>
    <i r="1">
      <x v="3"/>
    </i>
    <i r="1">
      <x v="4"/>
    </i>
    <i r="1">
      <x v="5"/>
    </i>
    <i r="1">
      <x v="6"/>
    </i>
    <i r="1">
      <x v="7"/>
    </i>
    <i r="1">
      <x v="8"/>
    </i>
    <i r="1">
      <x v="9"/>
    </i>
    <i r="1">
      <x v="10"/>
    </i>
    <i r="1">
      <x v="11"/>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Total Sales" fld="18" baseField="0" baseItem="0" numFmtId="164"/>
    <dataField name="Sum of Total Profit" fld="19" baseField="0" baseItem="0" numFmtId="164"/>
  </dataFields>
  <formats count="6">
    <format dxfId="16">
      <pivotArea type="all" dataOnly="0" outline="0" fieldPosition="0"/>
    </format>
    <format dxfId="15">
      <pivotArea outline="0" collapsedLevelsAreSubtotals="1" fieldPosition="0"/>
    </format>
    <format dxfId="14">
      <pivotArea field="23" type="button" dataOnly="0" labelOnly="1" outline="0"/>
    </format>
    <format dxfId="13">
      <pivotArea field="25" type="button" dataOnly="0" labelOnly="1" outline="0"/>
    </format>
    <format dxfId="12">
      <pivotArea dataOnly="0" labelOnly="1" grandRow="1" outline="0" fieldPosition="0"/>
    </format>
    <format dxfId="11">
      <pivotArea dataOnly="0" labelOnly="1" outline="0" fieldPosition="0">
        <references count="1">
          <reference field="4294967294" count="2">
            <x v="0"/>
            <x v="1"/>
          </reference>
        </references>
      </pivotArea>
    </format>
  </formats>
  <chartFormats count="15">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9" format="4">
      <pivotArea type="data" outline="0" fieldPosition="0">
        <references count="3">
          <reference field="4294967294" count="1" selected="0">
            <x v="0"/>
          </reference>
          <reference field="27" count="1" selected="0">
            <x v="3"/>
          </reference>
          <reference field="28" count="1" selected="0">
            <x v="3"/>
          </reference>
        </references>
      </pivotArea>
    </chartFormat>
    <chartFormat chart="9" format="5">
      <pivotArea type="data" outline="0" fieldPosition="0">
        <references count="3">
          <reference field="4294967294" count="1" selected="0">
            <x v="1"/>
          </reference>
          <reference field="27" count="1" selected="0">
            <x v="3"/>
          </reference>
          <reference field="28" count="1" selected="0">
            <x v="1"/>
          </reference>
        </references>
      </pivotArea>
    </chartFormat>
    <chartFormat chart="9" format="6">
      <pivotArea type="data" outline="0" fieldPosition="0">
        <references count="3">
          <reference field="4294967294" count="1" selected="0">
            <x v="1"/>
          </reference>
          <reference field="27" count="1" selected="0">
            <x v="2"/>
          </reference>
          <reference field="28" count="1" selected="0">
            <x v="1"/>
          </reference>
        </references>
      </pivotArea>
    </chartFormat>
    <chartFormat chart="9" format="7">
      <pivotArea type="data" outline="0" fieldPosition="0">
        <references count="3">
          <reference field="4294967294" count="1" selected="0">
            <x v="1"/>
          </reference>
          <reference field="27" count="1" selected="0">
            <x v="5"/>
          </reference>
          <reference field="28" count="1" selected="0">
            <x v="1"/>
          </reference>
        </references>
      </pivotArea>
    </chartFormat>
    <chartFormat chart="9" format="8">
      <pivotArea type="data" outline="0" fieldPosition="0">
        <references count="3">
          <reference field="4294967294" count="1" selected="0">
            <x v="1"/>
          </reference>
          <reference field="27" count="1" selected="0">
            <x v="4"/>
          </reference>
          <reference field="28" count="1" selected="0">
            <x v="1"/>
          </reference>
        </references>
      </pivotArea>
    </chartFormat>
    <chartFormat chart="9" format="9">
      <pivotArea type="data" outline="0" fieldPosition="0">
        <references count="3">
          <reference field="4294967294" count="1" selected="0">
            <x v="1"/>
          </reference>
          <reference field="27" count="1" selected="0">
            <x v="1"/>
          </reference>
          <reference field="28" count="1" selected="0">
            <x v="1"/>
          </reference>
        </references>
      </pivotArea>
    </chartFormat>
    <chartFormat chart="9" format="10">
      <pivotArea type="data" outline="0" fieldPosition="0">
        <references count="3">
          <reference field="4294967294" count="1" selected="0">
            <x v="1"/>
          </reference>
          <reference field="27" count="1" selected="0">
            <x v="7"/>
          </reference>
          <reference field="28" count="1" selected="0">
            <x v="1"/>
          </reference>
        </references>
      </pivotArea>
    </chartFormat>
    <chartFormat chart="9" format="11">
      <pivotArea type="data" outline="0" fieldPosition="0">
        <references count="3">
          <reference field="4294967294" count="1" selected="0">
            <x v="1"/>
          </reference>
          <reference field="27" count="1" selected="0">
            <x v="6"/>
          </reference>
          <reference field="28" count="1" selected="0">
            <x v="1"/>
          </reference>
        </references>
      </pivotArea>
    </chartFormat>
    <chartFormat chart="9" format="12">
      <pivotArea type="data" outline="0" fieldPosition="0">
        <references count="3">
          <reference field="4294967294" count="1" selected="0">
            <x v="1"/>
          </reference>
          <reference field="27" count="1" selected="0">
            <x v="10"/>
          </reference>
          <reference field="28" count="1" selected="0">
            <x v="1"/>
          </reference>
        </references>
      </pivotArea>
    </chartFormat>
    <chartFormat chart="9" format="13">
      <pivotArea type="data" outline="0" fieldPosition="0">
        <references count="3">
          <reference field="4294967294" count="1" selected="0">
            <x v="1"/>
          </reference>
          <reference field="27" count="1" selected="0">
            <x v="9"/>
          </reference>
          <reference field="28" count="1" selected="0">
            <x v="1"/>
          </reference>
        </references>
      </pivotArea>
    </chartFormat>
    <chartFormat chart="9" format="14">
      <pivotArea type="data" outline="0" fieldPosition="0">
        <references count="3">
          <reference field="4294967294" count="1" selected="0">
            <x v="1"/>
          </reference>
          <reference field="27" count="1" selected="0">
            <x v="8"/>
          </reference>
          <reference field="28" count="1" selected="0">
            <x v="1"/>
          </reference>
        </references>
      </pivotArea>
    </chartFormat>
    <chartFormat chart="9" format="15">
      <pivotArea type="data" outline="0" fieldPosition="0">
        <references count="3">
          <reference field="4294967294" count="1" selected="0">
            <x v="1"/>
          </reference>
          <reference field="27" count="1" selected="0">
            <x v="1"/>
          </reference>
          <reference field="28" count="1" selected="0">
            <x v="2"/>
          </reference>
        </references>
      </pivotArea>
    </chartFormat>
    <chartFormat chart="9" format="16">
      <pivotArea type="data" outline="0" fieldPosition="0">
        <references count="3">
          <reference field="4294967294" count="1" selected="0">
            <x v="1"/>
          </reference>
          <reference field="27" count="1" selected="0">
            <x v="2"/>
          </reference>
          <reference field="2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B2AEA8-4E20-44C7-A352-427BDC6AB052}" autoFormatId="16" applyNumberFormats="0" applyBorderFormats="0" applyFontFormats="0" applyPatternFormats="0" applyAlignmentFormats="0" applyWidthHeightFormats="0">
  <queryTableRefresh nextId="27">
    <queryTableFields count="26">
      <queryTableField id="1" name="Row ID" tableColumnId="1"/>
      <queryTableField id="2" name="Order ID" tableColumnId="2"/>
      <queryTableField id="3" name="Order Date" tableColumnId="3"/>
      <queryTableField id="4" name="Ship Date" tableColumnId="4"/>
      <queryTableField id="5" name="Shipping Days" tableColumnId="5"/>
      <queryTableField id="6" name="Customer ID" tableColumnId="6"/>
      <queryTableField id="7" name="Customer Name" tableColumnId="7"/>
      <queryTableField id="8" name="Segment" tableColumnId="8"/>
      <queryTableField id="9" name="Ship Mode" tableColumnId="9"/>
      <queryTableField id="10" name="Country" tableColumnId="10"/>
      <queryTableField id="11" name="State" tableColumnId="11"/>
      <queryTableField id="12" name="City" tableColumnId="12"/>
      <queryTableField id="13" name="Region" tableColumnId="13"/>
      <queryTableField id="14" name="Postal Code" tableColumnId="14"/>
      <queryTableField id="15" name="Product ID" tableColumnId="15"/>
      <queryTableField id="16" name="Category" tableColumnId="16"/>
      <queryTableField id="17" name="Sub-Category" tableColumnId="17"/>
      <queryTableField id="18" name="Product Name" tableColumnId="18"/>
      <queryTableField id="19" name="Total Sales" tableColumnId="19"/>
      <queryTableField id="20" name="Total Profit" tableColumnId="20"/>
      <queryTableField id="21" name="Profit Margin" tableColumnId="21"/>
      <queryTableField id="22" name="Order Quantity" tableColumnId="22"/>
      <queryTableField id="23" name="Discount" tableColumnId="23"/>
      <queryTableField id="24" name="Order Year" tableColumnId="24"/>
      <queryTableField id="25" name="Order Month" tableColumnId="25"/>
      <queryTableField id="26" name="Order Month Name"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658523-7158-4249-84F0-CF50C160ABD3}" sourceName="Category">
  <pivotTables>
    <pivotTable tabId="8" name="PivotTable1"/>
    <pivotTable tabId="3" name="PivotTable1"/>
    <pivotTable tabId="4" name="PivotTable4"/>
    <pivotTable tabId="5" name="PivotTable5"/>
    <pivotTable tabId="6" name="PivotTable6"/>
  </pivotTables>
  <data>
    <tabular pivotCacheId="139343588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C2973B7-EA89-4240-8720-98C6BEEC6B74}" sourceName="Segment">
  <pivotTables>
    <pivotTable tabId="8" name="PivotTable1"/>
    <pivotTable tabId="3" name="PivotTable1"/>
    <pivotTable tabId="4" name="PivotTable4"/>
    <pivotTable tabId="5" name="PivotTable5"/>
    <pivotTable tabId="6" name="PivotTable6"/>
  </pivotTables>
  <data>
    <tabular pivotCacheId="139343588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D9A343-6108-415E-9494-F07EBF14E6CF}" sourceName="Region">
  <pivotTables>
    <pivotTable tabId="4" name="PivotTable4"/>
    <pivotTable tabId="3" name="PivotTable1"/>
    <pivotTable tabId="5" name="PivotTable5"/>
    <pivotTable tabId="6" name="PivotTable6"/>
    <pivotTable tabId="8" name="PivotTable1"/>
  </pivotTables>
  <data>
    <tabular pivotCacheId="139343588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103E6B4-F725-4DB1-9478-860D21FC99D2}" cache="Slicer_Category" caption="Category" style="SlicerStyleOther2" rowHeight="251883"/>
  <slicer name="Segment" xr10:uid="{A3494596-8261-4A8A-9089-ABF85F61EE36}" cache="Slicer_Segment" caption="Segment" style="SlicerStyleOther2" rowHeight="251883"/>
  <slicer name="Region" xr10:uid="{5BDB52C1-37C1-4BE7-8557-DEF16CB60328}" cache="Slicer_Region" caption="Region" style="SlicerStyleOther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8D3C43-C65A-4A3E-8BAA-11D3C2EC37F8}" name="Sample___Superstore" displayName="Sample___Superstore" ref="A1:Z464" tableType="queryTable" totalsRowShown="0">
  <autoFilter ref="A1:Z464" xr:uid="{A98D3C43-C65A-4A3E-8BAA-11D3C2EC37F8}"/>
  <tableColumns count="26">
    <tableColumn id="1" xr3:uid="{9ADA96B6-CC80-4B26-8887-33312E077004}" uniqueName="1" name="Row ID" queryTableFieldId="1"/>
    <tableColumn id="2" xr3:uid="{7486ACCD-AC21-40C2-B86B-A31C48E17A55}" uniqueName="2" name="Order ID" queryTableFieldId="2" dataDxfId="72"/>
    <tableColumn id="3" xr3:uid="{D77A4AFE-C916-4C32-B3D8-0FC1CEF33331}" uniqueName="3" name="Order Date" queryTableFieldId="3" dataDxfId="71"/>
    <tableColumn id="4" xr3:uid="{C00DCD8A-E819-4FC9-905F-4CC6CF76198C}" uniqueName="4" name="Ship Date" queryTableFieldId="4" dataDxfId="70"/>
    <tableColumn id="5" xr3:uid="{BD894700-CE82-48BE-B13D-FDC2C471AA7B}" uniqueName="5" name="Shipping Days" queryTableFieldId="5"/>
    <tableColumn id="6" xr3:uid="{5C9006D4-0962-418C-B48C-E31C6EC11612}" uniqueName="6" name="Customer ID" queryTableFieldId="6" dataDxfId="69"/>
    <tableColumn id="7" xr3:uid="{2032EC9F-9C1D-47FA-A33D-BC0947DB2A4E}" uniqueName="7" name="Customer Name" queryTableFieldId="7" dataDxfId="68"/>
    <tableColumn id="8" xr3:uid="{703AB35F-A6C0-42D0-9FA4-22DAC89573AC}" uniqueName="8" name="Segment" queryTableFieldId="8" dataDxfId="67"/>
    <tableColumn id="9" xr3:uid="{01A2B93A-6362-433C-8A92-3738F465D903}" uniqueName="9" name="Ship Mode" queryTableFieldId="9" dataDxfId="66"/>
    <tableColumn id="10" xr3:uid="{7E44D26F-E3AB-477E-AA0D-C39DFFB5B7FF}" uniqueName="10" name="Country" queryTableFieldId="10" dataDxfId="65"/>
    <tableColumn id="11" xr3:uid="{8D259AAE-B7F0-40B4-AA59-7872AB523A9E}" uniqueName="11" name="State" queryTableFieldId="11" dataDxfId="64"/>
    <tableColumn id="12" xr3:uid="{6B84F720-D262-42EF-AAB3-2FD2647F38AB}" uniqueName="12" name="City" queryTableFieldId="12" dataDxfId="63"/>
    <tableColumn id="13" xr3:uid="{BD393A1E-18D2-49D2-A1D1-C2BC67D5BF8E}" uniqueName="13" name="Region" queryTableFieldId="13" dataDxfId="62"/>
    <tableColumn id="14" xr3:uid="{2C653248-6456-4769-B745-3CB0C6186509}" uniqueName="14" name="Postal Code" queryTableFieldId="14" dataDxfId="61"/>
    <tableColumn id="15" xr3:uid="{00C88C82-1A76-444D-90D1-04A85EDCFF99}" uniqueName="15" name="Product ID" queryTableFieldId="15" dataDxfId="60"/>
    <tableColumn id="16" xr3:uid="{59C397A9-5126-4090-825F-531CFE02E340}" uniqueName="16" name="Category" queryTableFieldId="16" dataDxfId="59"/>
    <tableColumn id="17" xr3:uid="{AB2CAC12-1494-4D8A-B1EF-DCD0C988E817}" uniqueName="17" name="Sub-Category" queryTableFieldId="17" dataDxfId="58"/>
    <tableColumn id="18" xr3:uid="{72FFC8CA-A0A2-4258-AE5A-6E64417D72B8}" uniqueName="18" name="Product Name" queryTableFieldId="18" dataDxfId="57"/>
    <tableColumn id="19" xr3:uid="{8BEA2974-30BB-4966-8563-CE3CE1E241ED}" uniqueName="19" name="Total Sales" queryTableFieldId="19"/>
    <tableColumn id="20" xr3:uid="{7C21F196-EFB1-415E-B9D2-633316067F9E}" uniqueName="20" name="Total Profit" queryTableFieldId="20"/>
    <tableColumn id="21" xr3:uid="{E8DC1849-3814-49FA-8686-EAF99C91FA6C}" uniqueName="21" name="Profit Margin" queryTableFieldId="21"/>
    <tableColumn id="22" xr3:uid="{9391A115-B3F2-4D6D-A63E-E5D0F8803D3F}" uniqueName="22" name="Order Quantity" queryTableFieldId="22"/>
    <tableColumn id="23" xr3:uid="{C075E3B6-95A6-4D64-AB1F-137023F30C79}" uniqueName="23" name="Discount" queryTableFieldId="23"/>
    <tableColumn id="24" xr3:uid="{1B1853C1-1E51-43B9-B3B4-C1DAFB293557}" uniqueName="24" name="Order Year" queryTableFieldId="24"/>
    <tableColumn id="25" xr3:uid="{580593C1-4235-4BBB-9FE4-DB803ABE338E}" uniqueName="25" name="Order Month" queryTableFieldId="25"/>
    <tableColumn id="26" xr3:uid="{AE749F87-50A1-4CD1-AB2F-C3B2CCE9BE63}" uniqueName="26" name="Order Month Name" queryTableFieldId="26" dataDxfId="5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EF4D-FD4C-4B04-A432-561B70E62899}">
  <dimension ref="A1:Z464"/>
  <sheetViews>
    <sheetView topLeftCell="A2" workbookViewId="0">
      <selection activeCell="C11" sqref="C11"/>
    </sheetView>
  </sheetViews>
  <sheetFormatPr defaultRowHeight="14.5" x14ac:dyDescent="0.35"/>
  <cols>
    <col min="1" max="1" width="8.81640625" bestFit="1" customWidth="1"/>
    <col min="2" max="2" width="14.54296875" bestFit="1" customWidth="1"/>
    <col min="3" max="3" width="12" bestFit="1" customWidth="1"/>
    <col min="4" max="4" width="11.1796875" bestFit="1" customWidth="1"/>
    <col min="5" max="5" width="15" bestFit="1" customWidth="1"/>
    <col min="6" max="6" width="13.453125" bestFit="1" customWidth="1"/>
    <col min="7" max="7" width="18.7265625" bestFit="1" customWidth="1"/>
    <col min="8" max="8" width="10.90625" bestFit="1" customWidth="1"/>
    <col min="9" max="9" width="13.08984375" bestFit="1" customWidth="1"/>
    <col min="10" max="10" width="11.7265625" bestFit="1" customWidth="1"/>
    <col min="11" max="11" width="13.6328125" bestFit="1" customWidth="1"/>
    <col min="12" max="12" width="15.26953125" bestFit="1" customWidth="1"/>
    <col min="13" max="13" width="8.81640625" bestFit="1" customWidth="1"/>
    <col min="14" max="14" width="13" bestFit="1" customWidth="1"/>
    <col min="15" max="15" width="16.08984375" bestFit="1" customWidth="1"/>
    <col min="16" max="16" width="13" bestFit="1" customWidth="1"/>
    <col min="17" max="17" width="14.36328125" bestFit="1" customWidth="1"/>
    <col min="18" max="18" width="80.7265625" bestFit="1" customWidth="1"/>
    <col min="19" max="20" width="12.08984375" bestFit="1" customWidth="1"/>
    <col min="21" max="21" width="13.6328125" bestFit="1" customWidth="1"/>
    <col min="22" max="22" width="15.36328125" bestFit="1" customWidth="1"/>
    <col min="23" max="23" width="10.6328125" bestFit="1" customWidth="1"/>
    <col min="24" max="24" width="11.81640625" bestFit="1" customWidth="1"/>
    <col min="25" max="25" width="13.36328125" bestFit="1" customWidth="1"/>
    <col min="26" max="26" width="18.726562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v>1</v>
      </c>
      <c r="B2" t="s">
        <v>26</v>
      </c>
      <c r="C2" s="1">
        <v>42593</v>
      </c>
      <c r="D2" s="1">
        <v>42685</v>
      </c>
      <c r="E2">
        <v>92</v>
      </c>
      <c r="F2" t="s">
        <v>27</v>
      </c>
      <c r="G2" t="s">
        <v>28</v>
      </c>
      <c r="H2" t="s">
        <v>29</v>
      </c>
      <c r="I2" t="s">
        <v>30</v>
      </c>
      <c r="J2" t="s">
        <v>31</v>
      </c>
      <c r="K2" t="s">
        <v>32</v>
      </c>
      <c r="L2" t="s">
        <v>33</v>
      </c>
      <c r="M2" t="s">
        <v>34</v>
      </c>
      <c r="N2" t="s">
        <v>35</v>
      </c>
      <c r="O2" t="s">
        <v>36</v>
      </c>
      <c r="P2" t="s">
        <v>37</v>
      </c>
      <c r="Q2" t="s">
        <v>38</v>
      </c>
      <c r="R2" t="s">
        <v>39</v>
      </c>
      <c r="S2">
        <v>261.95999999999998</v>
      </c>
      <c r="T2">
        <v>41.913600000000002</v>
      </c>
      <c r="U2">
        <v>0.16000000000000003</v>
      </c>
      <c r="V2">
        <v>2</v>
      </c>
      <c r="W2">
        <v>0</v>
      </c>
      <c r="X2">
        <v>2016</v>
      </c>
      <c r="Y2">
        <v>8</v>
      </c>
      <c r="Z2" t="s">
        <v>40</v>
      </c>
    </row>
    <row r="3" spans="1:26" x14ac:dyDescent="0.35">
      <c r="A3">
        <v>14</v>
      </c>
      <c r="B3" t="s">
        <v>41</v>
      </c>
      <c r="C3" s="1">
        <v>42502</v>
      </c>
      <c r="D3" s="1">
        <v>42655</v>
      </c>
      <c r="E3">
        <v>153</v>
      </c>
      <c r="F3" t="s">
        <v>42</v>
      </c>
      <c r="G3" t="s">
        <v>43</v>
      </c>
      <c r="H3" t="s">
        <v>29</v>
      </c>
      <c r="I3" t="s">
        <v>44</v>
      </c>
      <c r="J3" t="s">
        <v>31</v>
      </c>
      <c r="K3" t="s">
        <v>45</v>
      </c>
      <c r="L3" t="s">
        <v>46</v>
      </c>
      <c r="M3" t="s">
        <v>47</v>
      </c>
      <c r="N3" t="s">
        <v>48</v>
      </c>
      <c r="O3" t="s">
        <v>49</v>
      </c>
      <c r="P3" t="s">
        <v>50</v>
      </c>
      <c r="Q3" t="s">
        <v>51</v>
      </c>
      <c r="R3" t="s">
        <v>52</v>
      </c>
      <c r="S3">
        <v>407.976</v>
      </c>
      <c r="T3">
        <v>132.59219999999999</v>
      </c>
      <c r="U3">
        <v>0.32499999999999996</v>
      </c>
      <c r="V3">
        <v>3</v>
      </c>
      <c r="W3">
        <v>0.2</v>
      </c>
      <c r="X3">
        <v>2016</v>
      </c>
      <c r="Y3">
        <v>5</v>
      </c>
      <c r="Z3" t="s">
        <v>53</v>
      </c>
    </row>
    <row r="4" spans="1:26" x14ac:dyDescent="0.35">
      <c r="A4">
        <v>36</v>
      </c>
      <c r="B4" t="s">
        <v>54</v>
      </c>
      <c r="C4" s="1">
        <v>42594</v>
      </c>
      <c r="D4" s="1">
        <v>42655</v>
      </c>
      <c r="E4">
        <v>61</v>
      </c>
      <c r="F4" t="s">
        <v>55</v>
      </c>
      <c r="G4" t="s">
        <v>56</v>
      </c>
      <c r="H4" t="s">
        <v>57</v>
      </c>
      <c r="I4" t="s">
        <v>58</v>
      </c>
      <c r="J4" t="s">
        <v>31</v>
      </c>
      <c r="K4" t="s">
        <v>59</v>
      </c>
      <c r="L4" t="s">
        <v>60</v>
      </c>
      <c r="M4" t="s">
        <v>61</v>
      </c>
      <c r="N4" t="s">
        <v>62</v>
      </c>
      <c r="O4" t="s">
        <v>63</v>
      </c>
      <c r="P4" t="s">
        <v>64</v>
      </c>
      <c r="Q4" t="s">
        <v>65</v>
      </c>
      <c r="R4" t="s">
        <v>66</v>
      </c>
      <c r="S4">
        <v>1097.5440000000001</v>
      </c>
      <c r="T4">
        <v>123.47369999999999</v>
      </c>
      <c r="U4">
        <v>0.11249999999999999</v>
      </c>
      <c r="V4">
        <v>7</v>
      </c>
      <c r="W4">
        <v>0.2</v>
      </c>
      <c r="X4">
        <v>2016</v>
      </c>
      <c r="Y4">
        <v>8</v>
      </c>
      <c r="Z4" t="s">
        <v>40</v>
      </c>
    </row>
    <row r="5" spans="1:26" x14ac:dyDescent="0.35">
      <c r="A5">
        <v>68</v>
      </c>
      <c r="B5" t="s">
        <v>67</v>
      </c>
      <c r="C5" s="1">
        <v>41771</v>
      </c>
      <c r="D5" s="1">
        <v>41924</v>
      </c>
      <c r="E5">
        <v>153</v>
      </c>
      <c r="F5" t="s">
        <v>68</v>
      </c>
      <c r="G5" t="s">
        <v>69</v>
      </c>
      <c r="H5" t="s">
        <v>57</v>
      </c>
      <c r="I5" t="s">
        <v>44</v>
      </c>
      <c r="J5" t="s">
        <v>31</v>
      </c>
      <c r="K5" t="s">
        <v>70</v>
      </c>
      <c r="L5" t="s">
        <v>71</v>
      </c>
      <c r="M5" t="s">
        <v>47</v>
      </c>
      <c r="N5" t="s">
        <v>72</v>
      </c>
      <c r="O5" t="s">
        <v>73</v>
      </c>
      <c r="P5" t="s">
        <v>50</v>
      </c>
      <c r="Q5" t="s">
        <v>74</v>
      </c>
      <c r="R5" t="s">
        <v>75</v>
      </c>
      <c r="S5">
        <v>1113.0239999999999</v>
      </c>
      <c r="T5">
        <v>111.30240000000001</v>
      </c>
      <c r="U5">
        <v>0.10000000000000002</v>
      </c>
      <c r="V5">
        <v>8</v>
      </c>
      <c r="W5">
        <v>0.2</v>
      </c>
      <c r="X5">
        <v>2014</v>
      </c>
      <c r="Y5">
        <v>5</v>
      </c>
      <c r="Z5" t="s">
        <v>53</v>
      </c>
    </row>
    <row r="6" spans="1:26" x14ac:dyDescent="0.35">
      <c r="A6">
        <v>70</v>
      </c>
      <c r="B6" t="s">
        <v>76</v>
      </c>
      <c r="C6" s="1">
        <v>42466</v>
      </c>
      <c r="D6" s="1">
        <v>42527</v>
      </c>
      <c r="E6">
        <v>61</v>
      </c>
      <c r="F6" t="s">
        <v>77</v>
      </c>
      <c r="G6" t="s">
        <v>78</v>
      </c>
      <c r="H6" t="s">
        <v>29</v>
      </c>
      <c r="I6" t="s">
        <v>58</v>
      </c>
      <c r="J6" t="s">
        <v>31</v>
      </c>
      <c r="K6" t="s">
        <v>79</v>
      </c>
      <c r="L6" t="s">
        <v>80</v>
      </c>
      <c r="M6" t="s">
        <v>34</v>
      </c>
      <c r="N6" t="s">
        <v>81</v>
      </c>
      <c r="O6" t="s">
        <v>82</v>
      </c>
      <c r="P6" t="s">
        <v>50</v>
      </c>
      <c r="Q6" t="s">
        <v>83</v>
      </c>
      <c r="R6" t="s">
        <v>84</v>
      </c>
      <c r="S6">
        <v>75.88</v>
      </c>
      <c r="T6">
        <v>35.663600000000002</v>
      </c>
      <c r="U6">
        <v>0.47000000000000008</v>
      </c>
      <c r="V6">
        <v>2</v>
      </c>
      <c r="W6">
        <v>0</v>
      </c>
      <c r="X6">
        <v>2016</v>
      </c>
      <c r="Y6">
        <v>4</v>
      </c>
      <c r="Z6" t="s">
        <v>85</v>
      </c>
    </row>
    <row r="7" spans="1:26" x14ac:dyDescent="0.35">
      <c r="A7">
        <v>76</v>
      </c>
      <c r="B7" t="s">
        <v>86</v>
      </c>
      <c r="C7" s="1">
        <v>42990</v>
      </c>
      <c r="D7" s="1">
        <v>43051</v>
      </c>
      <c r="E7">
        <v>61</v>
      </c>
      <c r="F7" t="s">
        <v>87</v>
      </c>
      <c r="G7" t="s">
        <v>88</v>
      </c>
      <c r="H7" t="s">
        <v>57</v>
      </c>
      <c r="I7" t="s">
        <v>58</v>
      </c>
      <c r="J7" t="s">
        <v>31</v>
      </c>
      <c r="K7" t="s">
        <v>59</v>
      </c>
      <c r="L7" t="s">
        <v>89</v>
      </c>
      <c r="M7" t="s">
        <v>61</v>
      </c>
      <c r="N7" t="s">
        <v>90</v>
      </c>
      <c r="O7" t="s">
        <v>91</v>
      </c>
      <c r="P7" t="s">
        <v>50</v>
      </c>
      <c r="Q7" t="s">
        <v>51</v>
      </c>
      <c r="R7" t="s">
        <v>92</v>
      </c>
      <c r="S7">
        <v>1.248</v>
      </c>
      <c r="T7">
        <v>-1.9343999999999999</v>
      </c>
      <c r="U7">
        <v>-1.5499999999999998</v>
      </c>
      <c r="V7">
        <v>3</v>
      </c>
      <c r="W7">
        <v>0.8</v>
      </c>
      <c r="X7">
        <v>2017</v>
      </c>
      <c r="Y7">
        <v>9</v>
      </c>
      <c r="Z7" t="s">
        <v>93</v>
      </c>
    </row>
    <row r="8" spans="1:26" x14ac:dyDescent="0.35">
      <c r="A8">
        <v>84</v>
      </c>
      <c r="B8" t="s">
        <v>94</v>
      </c>
      <c r="C8" s="1">
        <v>42072</v>
      </c>
      <c r="D8" s="1">
        <v>42225</v>
      </c>
      <c r="E8">
        <v>153</v>
      </c>
      <c r="F8" t="s">
        <v>95</v>
      </c>
      <c r="G8" t="s">
        <v>96</v>
      </c>
      <c r="H8" t="s">
        <v>57</v>
      </c>
      <c r="I8" t="s">
        <v>44</v>
      </c>
      <c r="J8" t="s">
        <v>31</v>
      </c>
      <c r="K8" t="s">
        <v>97</v>
      </c>
      <c r="L8" t="s">
        <v>98</v>
      </c>
      <c r="M8" t="s">
        <v>34</v>
      </c>
      <c r="N8" t="s">
        <v>99</v>
      </c>
      <c r="O8" t="s">
        <v>100</v>
      </c>
      <c r="P8" t="s">
        <v>50</v>
      </c>
      <c r="Q8" t="s">
        <v>101</v>
      </c>
      <c r="R8" t="s">
        <v>102</v>
      </c>
      <c r="S8">
        <v>200.98400000000001</v>
      </c>
      <c r="T8">
        <v>62.807499999999997</v>
      </c>
      <c r="U8">
        <v>0.3125</v>
      </c>
      <c r="V8">
        <v>7</v>
      </c>
      <c r="W8">
        <v>0.2</v>
      </c>
      <c r="X8">
        <v>2015</v>
      </c>
      <c r="Y8">
        <v>3</v>
      </c>
      <c r="Z8" t="s">
        <v>103</v>
      </c>
    </row>
    <row r="9" spans="1:26" x14ac:dyDescent="0.35">
      <c r="A9">
        <v>89</v>
      </c>
      <c r="B9" t="s">
        <v>104</v>
      </c>
      <c r="C9" s="1">
        <v>42494</v>
      </c>
      <c r="D9" s="1">
        <v>42647</v>
      </c>
      <c r="E9">
        <v>153</v>
      </c>
      <c r="F9" t="s">
        <v>105</v>
      </c>
      <c r="G9" t="s">
        <v>106</v>
      </c>
      <c r="H9" t="s">
        <v>107</v>
      </c>
      <c r="I9" t="s">
        <v>30</v>
      </c>
      <c r="J9" t="s">
        <v>31</v>
      </c>
      <c r="K9" t="s">
        <v>59</v>
      </c>
      <c r="L9" t="s">
        <v>89</v>
      </c>
      <c r="M9" t="s">
        <v>61</v>
      </c>
      <c r="N9" t="s">
        <v>108</v>
      </c>
      <c r="O9" t="s">
        <v>109</v>
      </c>
      <c r="P9" t="s">
        <v>50</v>
      </c>
      <c r="Q9" t="s">
        <v>110</v>
      </c>
      <c r="R9" t="s">
        <v>111</v>
      </c>
      <c r="S9">
        <v>158.36799999999999</v>
      </c>
      <c r="T9">
        <v>13.857200000000001</v>
      </c>
      <c r="U9">
        <v>8.7500000000000008E-2</v>
      </c>
      <c r="V9">
        <v>7</v>
      </c>
      <c r="W9">
        <v>0.2</v>
      </c>
      <c r="X9">
        <v>2016</v>
      </c>
      <c r="Y9">
        <v>5</v>
      </c>
      <c r="Z9" t="s">
        <v>53</v>
      </c>
    </row>
    <row r="10" spans="1:26" x14ac:dyDescent="0.35">
      <c r="A10">
        <v>96</v>
      </c>
      <c r="B10" t="s">
        <v>112</v>
      </c>
      <c r="C10" s="1">
        <v>42897</v>
      </c>
      <c r="D10" s="1">
        <v>43080</v>
      </c>
      <c r="E10">
        <v>183</v>
      </c>
      <c r="F10" t="s">
        <v>113</v>
      </c>
      <c r="G10" t="s">
        <v>114</v>
      </c>
      <c r="H10" t="s">
        <v>107</v>
      </c>
      <c r="I10" t="s">
        <v>44</v>
      </c>
      <c r="J10" t="s">
        <v>31</v>
      </c>
      <c r="K10" t="s">
        <v>115</v>
      </c>
      <c r="L10" t="s">
        <v>116</v>
      </c>
      <c r="M10" t="s">
        <v>47</v>
      </c>
      <c r="N10" t="s">
        <v>117</v>
      </c>
      <c r="O10" t="s">
        <v>118</v>
      </c>
      <c r="P10" t="s">
        <v>50</v>
      </c>
      <c r="Q10" t="s">
        <v>51</v>
      </c>
      <c r="R10" t="s">
        <v>119</v>
      </c>
      <c r="S10">
        <v>5.6820000000000004</v>
      </c>
      <c r="T10">
        <v>-3.7879999999999998</v>
      </c>
      <c r="U10">
        <v>-0.66666666666666663</v>
      </c>
      <c r="V10">
        <v>1</v>
      </c>
      <c r="W10">
        <v>0.7</v>
      </c>
      <c r="X10">
        <v>2017</v>
      </c>
      <c r="Y10">
        <v>6</v>
      </c>
      <c r="Z10" t="s">
        <v>120</v>
      </c>
    </row>
    <row r="11" spans="1:26" x14ac:dyDescent="0.35">
      <c r="A11">
        <v>97</v>
      </c>
      <c r="B11" t="s">
        <v>121</v>
      </c>
      <c r="C11" s="1">
        <v>42989</v>
      </c>
      <c r="D11" s="1">
        <v>43050</v>
      </c>
      <c r="E11">
        <v>61</v>
      </c>
      <c r="F11" t="s">
        <v>122</v>
      </c>
      <c r="G11" t="s">
        <v>123</v>
      </c>
      <c r="H11" t="s">
        <v>107</v>
      </c>
      <c r="I11" t="s">
        <v>30</v>
      </c>
      <c r="J11" t="s">
        <v>31</v>
      </c>
      <c r="K11" t="s">
        <v>124</v>
      </c>
      <c r="L11" t="s">
        <v>125</v>
      </c>
      <c r="M11" t="s">
        <v>126</v>
      </c>
      <c r="N11" t="s">
        <v>127</v>
      </c>
      <c r="O11" t="s">
        <v>128</v>
      </c>
      <c r="P11" t="s">
        <v>37</v>
      </c>
      <c r="Q11" t="s">
        <v>129</v>
      </c>
      <c r="R11" t="s">
        <v>130</v>
      </c>
      <c r="S11">
        <v>96.53</v>
      </c>
      <c r="T11">
        <v>40.5426</v>
      </c>
      <c r="U11">
        <v>0.42</v>
      </c>
      <c r="V11">
        <v>7</v>
      </c>
      <c r="W11">
        <v>0</v>
      </c>
      <c r="X11">
        <v>2017</v>
      </c>
      <c r="Y11">
        <v>9</v>
      </c>
      <c r="Z11" t="s">
        <v>93</v>
      </c>
    </row>
    <row r="12" spans="1:26" x14ac:dyDescent="0.35">
      <c r="A12">
        <v>99</v>
      </c>
      <c r="B12" t="s">
        <v>131</v>
      </c>
      <c r="C12" s="1">
        <v>42530</v>
      </c>
      <c r="D12" s="1">
        <v>42683</v>
      </c>
      <c r="E12">
        <v>153</v>
      </c>
      <c r="F12" t="s">
        <v>132</v>
      </c>
      <c r="G12" t="s">
        <v>133</v>
      </c>
      <c r="H12" t="s">
        <v>57</v>
      </c>
      <c r="I12" t="s">
        <v>44</v>
      </c>
      <c r="J12" t="s">
        <v>31</v>
      </c>
      <c r="K12" t="s">
        <v>134</v>
      </c>
      <c r="L12" t="s">
        <v>135</v>
      </c>
      <c r="M12" t="s">
        <v>61</v>
      </c>
      <c r="N12" t="s">
        <v>136</v>
      </c>
      <c r="O12" t="s">
        <v>137</v>
      </c>
      <c r="P12" t="s">
        <v>50</v>
      </c>
      <c r="Q12" t="s">
        <v>138</v>
      </c>
      <c r="R12" t="s">
        <v>139</v>
      </c>
      <c r="S12">
        <v>77.88</v>
      </c>
      <c r="T12">
        <v>22.5852</v>
      </c>
      <c r="U12">
        <v>0.29000000000000004</v>
      </c>
      <c r="V12">
        <v>6</v>
      </c>
      <c r="W12">
        <v>0</v>
      </c>
      <c r="X12">
        <v>2016</v>
      </c>
      <c r="Y12">
        <v>6</v>
      </c>
      <c r="Z12" t="s">
        <v>120</v>
      </c>
    </row>
    <row r="13" spans="1:26" x14ac:dyDescent="0.35">
      <c r="A13">
        <v>103</v>
      </c>
      <c r="B13" t="s">
        <v>140</v>
      </c>
      <c r="C13" s="1">
        <v>42381</v>
      </c>
      <c r="D13" s="1">
        <v>42472</v>
      </c>
      <c r="E13">
        <v>91</v>
      </c>
      <c r="F13" t="s">
        <v>141</v>
      </c>
      <c r="G13" t="s">
        <v>142</v>
      </c>
      <c r="H13" t="s">
        <v>29</v>
      </c>
      <c r="I13" t="s">
        <v>30</v>
      </c>
      <c r="J13" t="s">
        <v>31</v>
      </c>
      <c r="K13" t="s">
        <v>134</v>
      </c>
      <c r="L13" t="s">
        <v>143</v>
      </c>
      <c r="M13" t="s">
        <v>61</v>
      </c>
      <c r="N13" t="s">
        <v>144</v>
      </c>
      <c r="O13" t="s">
        <v>145</v>
      </c>
      <c r="P13" t="s">
        <v>50</v>
      </c>
      <c r="Q13" t="s">
        <v>83</v>
      </c>
      <c r="R13" t="s">
        <v>146</v>
      </c>
      <c r="S13">
        <v>23.92</v>
      </c>
      <c r="T13">
        <v>11.720800000000001</v>
      </c>
      <c r="U13">
        <v>0.49</v>
      </c>
      <c r="V13">
        <v>4</v>
      </c>
      <c r="W13">
        <v>0</v>
      </c>
      <c r="X13">
        <v>2016</v>
      </c>
      <c r="Y13">
        <v>1</v>
      </c>
      <c r="Z13" t="s">
        <v>147</v>
      </c>
    </row>
    <row r="14" spans="1:26" x14ac:dyDescent="0.35">
      <c r="A14">
        <v>112</v>
      </c>
      <c r="B14" t="s">
        <v>148</v>
      </c>
      <c r="C14" s="1">
        <v>42440</v>
      </c>
      <c r="D14" s="1">
        <v>42654</v>
      </c>
      <c r="E14">
        <v>214</v>
      </c>
      <c r="F14" t="s">
        <v>149</v>
      </c>
      <c r="G14" t="s">
        <v>150</v>
      </c>
      <c r="H14" t="s">
        <v>29</v>
      </c>
      <c r="I14" t="s">
        <v>44</v>
      </c>
      <c r="J14" t="s">
        <v>31</v>
      </c>
      <c r="K14" t="s">
        <v>151</v>
      </c>
      <c r="L14" t="s">
        <v>152</v>
      </c>
      <c r="M14" t="s">
        <v>61</v>
      </c>
      <c r="N14" t="s">
        <v>153</v>
      </c>
      <c r="O14" t="s">
        <v>154</v>
      </c>
      <c r="P14" t="s">
        <v>50</v>
      </c>
      <c r="Q14" t="s">
        <v>74</v>
      </c>
      <c r="R14" t="s">
        <v>155</v>
      </c>
      <c r="S14">
        <v>75.959999999999994</v>
      </c>
      <c r="T14">
        <v>22.788</v>
      </c>
      <c r="U14">
        <v>0.30000000000000004</v>
      </c>
      <c r="V14">
        <v>2</v>
      </c>
      <c r="W14">
        <v>0</v>
      </c>
      <c r="X14">
        <v>2016</v>
      </c>
      <c r="Y14">
        <v>3</v>
      </c>
      <c r="Z14" t="s">
        <v>103</v>
      </c>
    </row>
    <row r="15" spans="1:26" x14ac:dyDescent="0.35">
      <c r="A15">
        <v>118</v>
      </c>
      <c r="B15" t="s">
        <v>156</v>
      </c>
      <c r="C15" s="1">
        <v>42038</v>
      </c>
      <c r="D15" s="1">
        <v>42158</v>
      </c>
      <c r="E15">
        <v>120</v>
      </c>
      <c r="F15" t="s">
        <v>157</v>
      </c>
      <c r="G15" t="s">
        <v>158</v>
      </c>
      <c r="H15" t="s">
        <v>29</v>
      </c>
      <c r="I15" t="s">
        <v>44</v>
      </c>
      <c r="J15" t="s">
        <v>31</v>
      </c>
      <c r="K15" t="s">
        <v>45</v>
      </c>
      <c r="L15" t="s">
        <v>46</v>
      </c>
      <c r="M15" t="s">
        <v>47</v>
      </c>
      <c r="N15" t="s">
        <v>48</v>
      </c>
      <c r="O15" t="s">
        <v>159</v>
      </c>
      <c r="P15" t="s">
        <v>37</v>
      </c>
      <c r="Q15" t="s">
        <v>160</v>
      </c>
      <c r="R15" t="s">
        <v>161</v>
      </c>
      <c r="S15">
        <v>787.53</v>
      </c>
      <c r="T15">
        <v>165.38130000000001</v>
      </c>
      <c r="U15">
        <v>0.21000000000000002</v>
      </c>
      <c r="V15">
        <v>3</v>
      </c>
      <c r="W15">
        <v>0</v>
      </c>
      <c r="X15">
        <v>2015</v>
      </c>
      <c r="Y15">
        <v>2</v>
      </c>
      <c r="Z15" t="s">
        <v>162</v>
      </c>
    </row>
    <row r="16" spans="1:26" x14ac:dyDescent="0.35">
      <c r="A16">
        <v>119</v>
      </c>
      <c r="B16" t="s">
        <v>163</v>
      </c>
      <c r="C16" s="1">
        <v>42128</v>
      </c>
      <c r="D16" s="1">
        <v>42281</v>
      </c>
      <c r="E16">
        <v>153</v>
      </c>
      <c r="F16" t="s">
        <v>164</v>
      </c>
      <c r="G16" t="s">
        <v>165</v>
      </c>
      <c r="H16" t="s">
        <v>57</v>
      </c>
      <c r="I16" t="s">
        <v>44</v>
      </c>
      <c r="J16" t="s">
        <v>31</v>
      </c>
      <c r="K16" t="s">
        <v>166</v>
      </c>
      <c r="L16" t="s">
        <v>167</v>
      </c>
      <c r="M16" t="s">
        <v>34</v>
      </c>
      <c r="N16" t="s">
        <v>168</v>
      </c>
      <c r="O16" t="s">
        <v>169</v>
      </c>
      <c r="P16" t="s">
        <v>50</v>
      </c>
      <c r="Q16" t="s">
        <v>51</v>
      </c>
      <c r="R16" t="s">
        <v>170</v>
      </c>
      <c r="S16">
        <v>157.79400000000001</v>
      </c>
      <c r="T16">
        <v>-115.71559999999999</v>
      </c>
      <c r="U16">
        <v>-0.73333333333333328</v>
      </c>
      <c r="V16">
        <v>1</v>
      </c>
      <c r="W16">
        <v>0.7</v>
      </c>
      <c r="X16">
        <v>2015</v>
      </c>
      <c r="Y16">
        <v>5</v>
      </c>
      <c r="Z16" t="s">
        <v>53</v>
      </c>
    </row>
    <row r="17" spans="1:26" x14ac:dyDescent="0.35">
      <c r="A17">
        <v>127</v>
      </c>
      <c r="B17" t="s">
        <v>171</v>
      </c>
      <c r="C17" s="1">
        <v>42866</v>
      </c>
      <c r="D17" s="1">
        <v>43080</v>
      </c>
      <c r="E17">
        <v>214</v>
      </c>
      <c r="F17" t="s">
        <v>172</v>
      </c>
      <c r="G17" t="s">
        <v>173</v>
      </c>
      <c r="H17" t="s">
        <v>29</v>
      </c>
      <c r="I17" t="s">
        <v>44</v>
      </c>
      <c r="J17" t="s">
        <v>31</v>
      </c>
      <c r="K17" t="s">
        <v>70</v>
      </c>
      <c r="L17" t="s">
        <v>174</v>
      </c>
      <c r="M17" t="s">
        <v>47</v>
      </c>
      <c r="N17" t="s">
        <v>175</v>
      </c>
      <c r="O17" t="s">
        <v>176</v>
      </c>
      <c r="P17" t="s">
        <v>50</v>
      </c>
      <c r="Q17" t="s">
        <v>51</v>
      </c>
      <c r="R17" t="s">
        <v>177</v>
      </c>
      <c r="S17">
        <v>2.3879999999999999</v>
      </c>
      <c r="T17">
        <v>-1.8308</v>
      </c>
      <c r="U17">
        <v>-0.76666666666666672</v>
      </c>
      <c r="V17">
        <v>2</v>
      </c>
      <c r="W17">
        <v>0.7</v>
      </c>
      <c r="X17">
        <v>2017</v>
      </c>
      <c r="Y17">
        <v>5</v>
      </c>
      <c r="Z17" t="s">
        <v>53</v>
      </c>
    </row>
    <row r="18" spans="1:26" x14ac:dyDescent="0.35">
      <c r="A18">
        <v>131</v>
      </c>
      <c r="B18" t="s">
        <v>178</v>
      </c>
      <c r="C18" s="1">
        <v>42768</v>
      </c>
      <c r="D18" s="1">
        <v>42857</v>
      </c>
      <c r="E18">
        <v>89</v>
      </c>
      <c r="F18" t="s">
        <v>179</v>
      </c>
      <c r="G18" t="s">
        <v>180</v>
      </c>
      <c r="H18" t="s">
        <v>57</v>
      </c>
      <c r="I18" t="s">
        <v>58</v>
      </c>
      <c r="J18" t="s">
        <v>31</v>
      </c>
      <c r="K18" t="s">
        <v>181</v>
      </c>
      <c r="L18" t="s">
        <v>182</v>
      </c>
      <c r="M18" t="s">
        <v>126</v>
      </c>
      <c r="N18" t="s">
        <v>183</v>
      </c>
      <c r="O18" t="s">
        <v>184</v>
      </c>
      <c r="P18" t="s">
        <v>64</v>
      </c>
      <c r="Q18" t="s">
        <v>65</v>
      </c>
      <c r="R18" t="s">
        <v>185</v>
      </c>
      <c r="S18">
        <v>59.97</v>
      </c>
      <c r="T18">
        <v>-11.994</v>
      </c>
      <c r="U18">
        <v>-0.2</v>
      </c>
      <c r="V18">
        <v>5</v>
      </c>
      <c r="W18">
        <v>0.4</v>
      </c>
      <c r="X18">
        <v>2017</v>
      </c>
      <c r="Y18">
        <v>2</v>
      </c>
      <c r="Z18" t="s">
        <v>162</v>
      </c>
    </row>
    <row r="19" spans="1:26" x14ac:dyDescent="0.35">
      <c r="A19">
        <v>141</v>
      </c>
      <c r="B19" t="s">
        <v>186</v>
      </c>
      <c r="C19" s="1">
        <v>42499</v>
      </c>
      <c r="D19" s="1">
        <v>42560</v>
      </c>
      <c r="E19">
        <v>61</v>
      </c>
      <c r="F19" t="s">
        <v>187</v>
      </c>
      <c r="G19" t="s">
        <v>188</v>
      </c>
      <c r="H19" t="s">
        <v>57</v>
      </c>
      <c r="I19" t="s">
        <v>30</v>
      </c>
      <c r="J19" t="s">
        <v>31</v>
      </c>
      <c r="K19" t="s">
        <v>189</v>
      </c>
      <c r="L19" t="s">
        <v>190</v>
      </c>
      <c r="M19" t="s">
        <v>126</v>
      </c>
      <c r="N19" t="s">
        <v>191</v>
      </c>
      <c r="O19" t="s">
        <v>192</v>
      </c>
      <c r="P19" t="s">
        <v>37</v>
      </c>
      <c r="Q19" t="s">
        <v>129</v>
      </c>
      <c r="R19" t="s">
        <v>193</v>
      </c>
      <c r="S19">
        <v>82.8</v>
      </c>
      <c r="T19">
        <v>10.35</v>
      </c>
      <c r="U19">
        <v>0.125</v>
      </c>
      <c r="V19">
        <v>2</v>
      </c>
      <c r="W19">
        <v>0.2</v>
      </c>
      <c r="X19">
        <v>2016</v>
      </c>
      <c r="Y19">
        <v>5</v>
      </c>
      <c r="Z19" t="s">
        <v>53</v>
      </c>
    </row>
    <row r="20" spans="1:26" x14ac:dyDescent="0.35">
      <c r="A20">
        <v>148</v>
      </c>
      <c r="B20" t="s">
        <v>194</v>
      </c>
      <c r="C20" s="1">
        <v>42502</v>
      </c>
      <c r="D20" s="1">
        <v>42625</v>
      </c>
      <c r="E20">
        <v>123</v>
      </c>
      <c r="F20" t="s">
        <v>195</v>
      </c>
      <c r="G20" t="s">
        <v>196</v>
      </c>
      <c r="H20" t="s">
        <v>57</v>
      </c>
      <c r="I20" t="s">
        <v>44</v>
      </c>
      <c r="J20" t="s">
        <v>31</v>
      </c>
      <c r="K20" t="s">
        <v>197</v>
      </c>
      <c r="L20" t="s">
        <v>198</v>
      </c>
      <c r="M20" t="s">
        <v>61</v>
      </c>
      <c r="N20" t="s">
        <v>199</v>
      </c>
      <c r="O20" t="s">
        <v>200</v>
      </c>
      <c r="P20" t="s">
        <v>64</v>
      </c>
      <c r="Q20" t="s">
        <v>65</v>
      </c>
      <c r="R20" t="s">
        <v>201</v>
      </c>
      <c r="S20">
        <v>384.45</v>
      </c>
      <c r="T20">
        <v>103.8015</v>
      </c>
      <c r="U20">
        <v>0.27</v>
      </c>
      <c r="V20">
        <v>11</v>
      </c>
      <c r="W20">
        <v>0</v>
      </c>
      <c r="X20">
        <v>2016</v>
      </c>
      <c r="Y20">
        <v>5</v>
      </c>
      <c r="Z20" t="s">
        <v>53</v>
      </c>
    </row>
    <row r="21" spans="1:26" x14ac:dyDescent="0.35">
      <c r="A21">
        <v>161</v>
      </c>
      <c r="B21" t="s">
        <v>202</v>
      </c>
      <c r="C21" s="1">
        <v>42679</v>
      </c>
      <c r="D21" s="1">
        <v>42709</v>
      </c>
      <c r="E21">
        <v>30</v>
      </c>
      <c r="F21" t="s">
        <v>203</v>
      </c>
      <c r="G21" t="s">
        <v>204</v>
      </c>
      <c r="H21" t="s">
        <v>29</v>
      </c>
      <c r="I21" t="s">
        <v>58</v>
      </c>
      <c r="J21" t="s">
        <v>31</v>
      </c>
      <c r="K21" t="s">
        <v>205</v>
      </c>
      <c r="L21" t="s">
        <v>206</v>
      </c>
      <c r="M21" t="s">
        <v>47</v>
      </c>
      <c r="N21" t="s">
        <v>207</v>
      </c>
      <c r="O21" t="s">
        <v>208</v>
      </c>
      <c r="P21" t="s">
        <v>50</v>
      </c>
      <c r="Q21" t="s">
        <v>83</v>
      </c>
      <c r="R21" t="s">
        <v>209</v>
      </c>
      <c r="S21">
        <v>5.98</v>
      </c>
      <c r="T21">
        <v>2.6909999999999998</v>
      </c>
      <c r="U21">
        <v>0.44999999999999996</v>
      </c>
      <c r="V21">
        <v>1</v>
      </c>
      <c r="W21">
        <v>0</v>
      </c>
      <c r="X21">
        <v>2016</v>
      </c>
      <c r="Y21">
        <v>11</v>
      </c>
      <c r="Z21" t="s">
        <v>210</v>
      </c>
    </row>
    <row r="22" spans="1:26" x14ac:dyDescent="0.35">
      <c r="A22">
        <v>164</v>
      </c>
      <c r="B22" t="s">
        <v>211</v>
      </c>
      <c r="C22" s="1">
        <v>42562</v>
      </c>
      <c r="D22" s="1">
        <v>42685</v>
      </c>
      <c r="E22">
        <v>123</v>
      </c>
      <c r="F22" t="s">
        <v>212</v>
      </c>
      <c r="G22" t="s">
        <v>213</v>
      </c>
      <c r="H22" t="s">
        <v>29</v>
      </c>
      <c r="I22" t="s">
        <v>44</v>
      </c>
      <c r="J22" t="s">
        <v>31</v>
      </c>
      <c r="K22" t="s">
        <v>45</v>
      </c>
      <c r="L22" t="s">
        <v>46</v>
      </c>
      <c r="M22" t="s">
        <v>47</v>
      </c>
      <c r="N22" t="s">
        <v>214</v>
      </c>
      <c r="O22" t="s">
        <v>215</v>
      </c>
      <c r="P22" t="s">
        <v>50</v>
      </c>
      <c r="Q22" t="s">
        <v>51</v>
      </c>
      <c r="R22" t="s">
        <v>216</v>
      </c>
      <c r="S22">
        <v>27.68</v>
      </c>
      <c r="T22">
        <v>9.6880000000000006</v>
      </c>
      <c r="U22">
        <v>0.35000000000000003</v>
      </c>
      <c r="V22">
        <v>2</v>
      </c>
      <c r="W22">
        <v>0.2</v>
      </c>
      <c r="X22">
        <v>2016</v>
      </c>
      <c r="Y22">
        <v>7</v>
      </c>
      <c r="Z22" t="s">
        <v>217</v>
      </c>
    </row>
    <row r="23" spans="1:26" x14ac:dyDescent="0.35">
      <c r="A23">
        <v>165</v>
      </c>
      <c r="B23" t="s">
        <v>218</v>
      </c>
      <c r="C23" s="1">
        <v>41860</v>
      </c>
      <c r="D23" s="1">
        <v>41982</v>
      </c>
      <c r="E23">
        <v>122</v>
      </c>
      <c r="F23" t="s">
        <v>219</v>
      </c>
      <c r="G23" t="s">
        <v>220</v>
      </c>
      <c r="H23" t="s">
        <v>29</v>
      </c>
      <c r="I23" t="s">
        <v>44</v>
      </c>
      <c r="J23" t="s">
        <v>31</v>
      </c>
      <c r="K23" t="s">
        <v>59</v>
      </c>
      <c r="L23" t="s">
        <v>221</v>
      </c>
      <c r="M23" t="s">
        <v>61</v>
      </c>
      <c r="N23" t="s">
        <v>222</v>
      </c>
      <c r="O23" t="s">
        <v>223</v>
      </c>
      <c r="P23" t="s">
        <v>50</v>
      </c>
      <c r="Q23" t="s">
        <v>74</v>
      </c>
      <c r="R23" t="s">
        <v>224</v>
      </c>
      <c r="S23">
        <v>9.9359999999999999</v>
      </c>
      <c r="T23">
        <v>2.7324000000000002</v>
      </c>
      <c r="U23">
        <v>0.27500000000000002</v>
      </c>
      <c r="V23">
        <v>3</v>
      </c>
      <c r="W23">
        <v>0.2</v>
      </c>
      <c r="X23">
        <v>2014</v>
      </c>
      <c r="Y23">
        <v>8</v>
      </c>
      <c r="Z23" t="s">
        <v>40</v>
      </c>
    </row>
    <row r="24" spans="1:26" x14ac:dyDescent="0.35">
      <c r="A24">
        <v>172</v>
      </c>
      <c r="B24" t="s">
        <v>225</v>
      </c>
      <c r="C24" s="1">
        <v>41767</v>
      </c>
      <c r="D24" s="1">
        <v>41890</v>
      </c>
      <c r="E24">
        <v>123</v>
      </c>
      <c r="F24" t="s">
        <v>226</v>
      </c>
      <c r="G24" t="s">
        <v>227</v>
      </c>
      <c r="H24" t="s">
        <v>29</v>
      </c>
      <c r="I24" t="s">
        <v>44</v>
      </c>
      <c r="J24" t="s">
        <v>31</v>
      </c>
      <c r="K24" t="s">
        <v>205</v>
      </c>
      <c r="L24" t="s">
        <v>206</v>
      </c>
      <c r="M24" t="s">
        <v>47</v>
      </c>
      <c r="N24" t="s">
        <v>228</v>
      </c>
      <c r="O24" t="s">
        <v>229</v>
      </c>
      <c r="P24" t="s">
        <v>50</v>
      </c>
      <c r="Q24" t="s">
        <v>83</v>
      </c>
      <c r="R24" t="s">
        <v>230</v>
      </c>
      <c r="S24">
        <v>20.94</v>
      </c>
      <c r="T24">
        <v>9.8417999999999992</v>
      </c>
      <c r="U24">
        <v>0.46999999999999992</v>
      </c>
      <c r="V24">
        <v>3</v>
      </c>
      <c r="W24">
        <v>0</v>
      </c>
      <c r="X24">
        <v>2014</v>
      </c>
      <c r="Y24">
        <v>5</v>
      </c>
      <c r="Z24" t="s">
        <v>53</v>
      </c>
    </row>
    <row r="25" spans="1:26" x14ac:dyDescent="0.35">
      <c r="A25">
        <v>181</v>
      </c>
      <c r="B25" t="s">
        <v>231</v>
      </c>
      <c r="C25" s="1">
        <v>41771</v>
      </c>
      <c r="D25" s="1">
        <v>41894</v>
      </c>
      <c r="E25">
        <v>123</v>
      </c>
      <c r="F25" t="s">
        <v>232</v>
      </c>
      <c r="G25" t="s">
        <v>233</v>
      </c>
      <c r="H25" t="s">
        <v>57</v>
      </c>
      <c r="I25" t="s">
        <v>30</v>
      </c>
      <c r="J25" t="s">
        <v>31</v>
      </c>
      <c r="K25" t="s">
        <v>234</v>
      </c>
      <c r="L25" t="s">
        <v>235</v>
      </c>
      <c r="M25" t="s">
        <v>61</v>
      </c>
      <c r="N25" t="s">
        <v>236</v>
      </c>
      <c r="O25" t="s">
        <v>237</v>
      </c>
      <c r="P25" t="s">
        <v>50</v>
      </c>
      <c r="Q25" t="s">
        <v>110</v>
      </c>
      <c r="R25" t="s">
        <v>238</v>
      </c>
      <c r="S25">
        <v>24.815999999999999</v>
      </c>
      <c r="T25">
        <v>1.8612</v>
      </c>
      <c r="U25">
        <v>7.4999999999999997E-2</v>
      </c>
      <c r="V25">
        <v>2</v>
      </c>
      <c r="W25">
        <v>0.2</v>
      </c>
      <c r="X25">
        <v>2014</v>
      </c>
      <c r="Y25">
        <v>5</v>
      </c>
      <c r="Z25" t="s">
        <v>53</v>
      </c>
    </row>
    <row r="26" spans="1:26" x14ac:dyDescent="0.35">
      <c r="A26">
        <v>202</v>
      </c>
      <c r="B26" t="s">
        <v>239</v>
      </c>
      <c r="C26" s="1">
        <v>41706</v>
      </c>
      <c r="D26" s="1">
        <v>41767</v>
      </c>
      <c r="E26">
        <v>61</v>
      </c>
      <c r="F26" t="s">
        <v>240</v>
      </c>
      <c r="G26" t="s">
        <v>241</v>
      </c>
      <c r="H26" t="s">
        <v>29</v>
      </c>
      <c r="I26" t="s">
        <v>58</v>
      </c>
      <c r="J26" t="s">
        <v>31</v>
      </c>
      <c r="K26" t="s">
        <v>242</v>
      </c>
      <c r="L26" t="s">
        <v>243</v>
      </c>
      <c r="M26" t="s">
        <v>47</v>
      </c>
      <c r="N26" t="s">
        <v>244</v>
      </c>
      <c r="O26" t="s">
        <v>245</v>
      </c>
      <c r="P26" t="s">
        <v>37</v>
      </c>
      <c r="Q26" t="s">
        <v>160</v>
      </c>
      <c r="R26" t="s">
        <v>246</v>
      </c>
      <c r="S26">
        <v>218.75</v>
      </c>
      <c r="T26">
        <v>-161.875</v>
      </c>
      <c r="U26">
        <v>-0.74</v>
      </c>
      <c r="V26">
        <v>2</v>
      </c>
      <c r="W26">
        <v>0.5</v>
      </c>
      <c r="X26">
        <v>2014</v>
      </c>
      <c r="Y26">
        <v>3</v>
      </c>
      <c r="Z26" t="s">
        <v>103</v>
      </c>
    </row>
    <row r="27" spans="1:26" x14ac:dyDescent="0.35">
      <c r="A27">
        <v>205</v>
      </c>
      <c r="B27" t="s">
        <v>247</v>
      </c>
      <c r="C27" s="1">
        <v>42800</v>
      </c>
      <c r="D27" s="1">
        <v>42922</v>
      </c>
      <c r="E27">
        <v>122</v>
      </c>
      <c r="F27" t="s">
        <v>248</v>
      </c>
      <c r="G27" t="s">
        <v>249</v>
      </c>
      <c r="H27" t="s">
        <v>57</v>
      </c>
      <c r="I27" t="s">
        <v>44</v>
      </c>
      <c r="J27" t="s">
        <v>31</v>
      </c>
      <c r="K27" t="s">
        <v>166</v>
      </c>
      <c r="L27" t="s">
        <v>198</v>
      </c>
      <c r="M27" t="s">
        <v>34</v>
      </c>
      <c r="N27" t="s">
        <v>250</v>
      </c>
      <c r="O27" t="s">
        <v>251</v>
      </c>
      <c r="P27" t="s">
        <v>37</v>
      </c>
      <c r="Q27" t="s">
        <v>129</v>
      </c>
      <c r="R27" t="s">
        <v>252</v>
      </c>
      <c r="S27">
        <v>35.167999999999999</v>
      </c>
      <c r="T27">
        <v>9.6712000000000007</v>
      </c>
      <c r="U27">
        <v>0.27500000000000002</v>
      </c>
      <c r="V27">
        <v>7</v>
      </c>
      <c r="W27">
        <v>0.2</v>
      </c>
      <c r="X27">
        <v>2017</v>
      </c>
      <c r="Y27">
        <v>3</v>
      </c>
      <c r="Z27" t="s">
        <v>103</v>
      </c>
    </row>
    <row r="28" spans="1:26" x14ac:dyDescent="0.35">
      <c r="A28">
        <v>207</v>
      </c>
      <c r="B28" t="s">
        <v>253</v>
      </c>
      <c r="C28" s="1">
        <v>42747</v>
      </c>
      <c r="D28" s="1">
        <v>42928</v>
      </c>
      <c r="E28">
        <v>181</v>
      </c>
      <c r="F28" t="s">
        <v>254</v>
      </c>
      <c r="G28" t="s">
        <v>255</v>
      </c>
      <c r="H28" t="s">
        <v>29</v>
      </c>
      <c r="I28" t="s">
        <v>44</v>
      </c>
      <c r="J28" t="s">
        <v>31</v>
      </c>
      <c r="K28" t="s">
        <v>256</v>
      </c>
      <c r="L28" t="s">
        <v>257</v>
      </c>
      <c r="M28" t="s">
        <v>61</v>
      </c>
      <c r="N28" t="s">
        <v>258</v>
      </c>
      <c r="O28" t="s">
        <v>259</v>
      </c>
      <c r="P28" t="s">
        <v>50</v>
      </c>
      <c r="Q28" t="s">
        <v>110</v>
      </c>
      <c r="R28" t="s">
        <v>260</v>
      </c>
      <c r="S28">
        <v>83.92</v>
      </c>
      <c r="T28">
        <v>5.8743999999999996</v>
      </c>
      <c r="U28">
        <v>6.9999999999999993E-2</v>
      </c>
      <c r="V28">
        <v>4</v>
      </c>
      <c r="W28">
        <v>0</v>
      </c>
      <c r="X28">
        <v>2017</v>
      </c>
      <c r="Y28">
        <v>1</v>
      </c>
      <c r="Z28" t="s">
        <v>147</v>
      </c>
    </row>
    <row r="29" spans="1:26" x14ac:dyDescent="0.35">
      <c r="A29">
        <v>213</v>
      </c>
      <c r="B29" t="s">
        <v>261</v>
      </c>
      <c r="C29" s="1">
        <v>42036</v>
      </c>
      <c r="D29" s="1">
        <v>42248</v>
      </c>
      <c r="E29">
        <v>212</v>
      </c>
      <c r="F29" t="s">
        <v>262</v>
      </c>
      <c r="G29" t="s">
        <v>263</v>
      </c>
      <c r="H29" t="s">
        <v>57</v>
      </c>
      <c r="I29" t="s">
        <v>44</v>
      </c>
      <c r="J29" t="s">
        <v>31</v>
      </c>
      <c r="K29" t="s">
        <v>181</v>
      </c>
      <c r="L29" t="s">
        <v>264</v>
      </c>
      <c r="M29" t="s">
        <v>126</v>
      </c>
      <c r="N29" t="s">
        <v>265</v>
      </c>
      <c r="O29" t="s">
        <v>266</v>
      </c>
      <c r="P29" t="s">
        <v>50</v>
      </c>
      <c r="Q29" t="s">
        <v>267</v>
      </c>
      <c r="R29" t="s">
        <v>268</v>
      </c>
      <c r="S29">
        <v>23.68</v>
      </c>
      <c r="T29">
        <v>8.8800000000000008</v>
      </c>
      <c r="U29">
        <v>0.37500000000000006</v>
      </c>
      <c r="V29">
        <v>2</v>
      </c>
      <c r="W29">
        <v>0.2</v>
      </c>
      <c r="X29">
        <v>2015</v>
      </c>
      <c r="Y29">
        <v>2</v>
      </c>
      <c r="Z29" t="s">
        <v>162</v>
      </c>
    </row>
    <row r="30" spans="1:26" x14ac:dyDescent="0.35">
      <c r="A30">
        <v>232</v>
      </c>
      <c r="B30" t="s">
        <v>269</v>
      </c>
      <c r="C30" s="1">
        <v>42920</v>
      </c>
      <c r="D30" s="1">
        <v>43073</v>
      </c>
      <c r="E30">
        <v>153</v>
      </c>
      <c r="F30" t="s">
        <v>270</v>
      </c>
      <c r="G30" t="s">
        <v>271</v>
      </c>
      <c r="H30" t="s">
        <v>107</v>
      </c>
      <c r="I30" t="s">
        <v>44</v>
      </c>
      <c r="J30" t="s">
        <v>31</v>
      </c>
      <c r="K30" t="s">
        <v>272</v>
      </c>
      <c r="L30" t="s">
        <v>273</v>
      </c>
      <c r="M30" t="s">
        <v>34</v>
      </c>
      <c r="N30" t="s">
        <v>274</v>
      </c>
      <c r="O30" t="s">
        <v>275</v>
      </c>
      <c r="P30" t="s">
        <v>37</v>
      </c>
      <c r="Q30" t="s">
        <v>160</v>
      </c>
      <c r="R30" t="s">
        <v>276</v>
      </c>
      <c r="S30">
        <v>233.86</v>
      </c>
      <c r="T30">
        <v>-102.048</v>
      </c>
      <c r="U30">
        <v>-0.43636363636363634</v>
      </c>
      <c r="V30">
        <v>2</v>
      </c>
      <c r="W30">
        <v>0.45</v>
      </c>
      <c r="X30">
        <v>2017</v>
      </c>
      <c r="Y30">
        <v>7</v>
      </c>
      <c r="Z30" t="s">
        <v>217</v>
      </c>
    </row>
    <row r="31" spans="1:26" x14ac:dyDescent="0.35">
      <c r="A31">
        <v>238</v>
      </c>
      <c r="B31" t="s">
        <v>277</v>
      </c>
      <c r="C31" s="1">
        <v>42466</v>
      </c>
      <c r="D31" s="1">
        <v>42619</v>
      </c>
      <c r="E31">
        <v>153</v>
      </c>
      <c r="F31" t="s">
        <v>278</v>
      </c>
      <c r="G31" t="s">
        <v>279</v>
      </c>
      <c r="H31" t="s">
        <v>29</v>
      </c>
      <c r="I31" t="s">
        <v>30</v>
      </c>
      <c r="J31" t="s">
        <v>31</v>
      </c>
      <c r="K31" t="s">
        <v>234</v>
      </c>
      <c r="L31" t="s">
        <v>280</v>
      </c>
      <c r="M31" t="s">
        <v>61</v>
      </c>
      <c r="N31" t="s">
        <v>281</v>
      </c>
      <c r="O31" t="s">
        <v>282</v>
      </c>
      <c r="P31" t="s">
        <v>50</v>
      </c>
      <c r="Q31" t="s">
        <v>83</v>
      </c>
      <c r="R31" t="s">
        <v>283</v>
      </c>
      <c r="S31">
        <v>25.92</v>
      </c>
      <c r="T31">
        <v>9.3960000000000008</v>
      </c>
      <c r="U31">
        <v>0.36249999999999999</v>
      </c>
      <c r="V31">
        <v>5</v>
      </c>
      <c r="W31">
        <v>0.2</v>
      </c>
      <c r="X31">
        <v>2016</v>
      </c>
      <c r="Y31">
        <v>4</v>
      </c>
      <c r="Z31" t="s">
        <v>85</v>
      </c>
    </row>
    <row r="32" spans="1:26" x14ac:dyDescent="0.35">
      <c r="A32">
        <v>259</v>
      </c>
      <c r="B32" t="s">
        <v>284</v>
      </c>
      <c r="C32" s="1">
        <v>42747</v>
      </c>
      <c r="D32" s="1">
        <v>42806</v>
      </c>
      <c r="E32">
        <v>59</v>
      </c>
      <c r="F32" t="s">
        <v>285</v>
      </c>
      <c r="G32" t="s">
        <v>286</v>
      </c>
      <c r="H32" t="s">
        <v>29</v>
      </c>
      <c r="I32" t="s">
        <v>30</v>
      </c>
      <c r="J32" t="s">
        <v>31</v>
      </c>
      <c r="K32" t="s">
        <v>124</v>
      </c>
      <c r="L32" t="s">
        <v>125</v>
      </c>
      <c r="M32" t="s">
        <v>126</v>
      </c>
      <c r="N32" t="s">
        <v>127</v>
      </c>
      <c r="O32" t="s">
        <v>287</v>
      </c>
      <c r="P32" t="s">
        <v>64</v>
      </c>
      <c r="Q32" t="s">
        <v>288</v>
      </c>
      <c r="R32" t="s">
        <v>289</v>
      </c>
      <c r="S32">
        <v>20.37</v>
      </c>
      <c r="T32">
        <v>6.9257999999999997</v>
      </c>
      <c r="U32">
        <v>0.33999999999999997</v>
      </c>
      <c r="V32">
        <v>3</v>
      </c>
      <c r="W32">
        <v>0</v>
      </c>
      <c r="X32">
        <v>2017</v>
      </c>
      <c r="Y32">
        <v>1</v>
      </c>
      <c r="Z32" t="s">
        <v>147</v>
      </c>
    </row>
    <row r="33" spans="1:26" x14ac:dyDescent="0.35">
      <c r="A33">
        <v>262</v>
      </c>
      <c r="B33" t="s">
        <v>290</v>
      </c>
      <c r="C33" s="1">
        <v>42953</v>
      </c>
      <c r="D33" s="1">
        <v>43075</v>
      </c>
      <c r="E33">
        <v>122</v>
      </c>
      <c r="F33" t="s">
        <v>291</v>
      </c>
      <c r="G33" t="s">
        <v>292</v>
      </c>
      <c r="H33" t="s">
        <v>57</v>
      </c>
      <c r="I33" t="s">
        <v>44</v>
      </c>
      <c r="J33" t="s">
        <v>31</v>
      </c>
      <c r="K33" t="s">
        <v>59</v>
      </c>
      <c r="L33" t="s">
        <v>293</v>
      </c>
      <c r="M33" t="s">
        <v>61</v>
      </c>
      <c r="N33" t="s">
        <v>294</v>
      </c>
      <c r="O33" t="s">
        <v>295</v>
      </c>
      <c r="P33" t="s">
        <v>50</v>
      </c>
      <c r="Q33" t="s">
        <v>138</v>
      </c>
      <c r="R33" t="s">
        <v>296</v>
      </c>
      <c r="S33">
        <v>1.6240000000000001</v>
      </c>
      <c r="T33">
        <v>-4.4660000000000002</v>
      </c>
      <c r="U33">
        <v>-2.75</v>
      </c>
      <c r="V33">
        <v>2</v>
      </c>
      <c r="W33">
        <v>0.8</v>
      </c>
      <c r="X33">
        <v>2017</v>
      </c>
      <c r="Y33">
        <v>8</v>
      </c>
      <c r="Z33" t="s">
        <v>40</v>
      </c>
    </row>
    <row r="34" spans="1:26" x14ac:dyDescent="0.35">
      <c r="A34">
        <v>283</v>
      </c>
      <c r="B34" t="s">
        <v>297</v>
      </c>
      <c r="C34" s="1">
        <v>42046</v>
      </c>
      <c r="D34" s="1">
        <v>42166</v>
      </c>
      <c r="E34">
        <v>120</v>
      </c>
      <c r="F34" t="s">
        <v>298</v>
      </c>
      <c r="G34" t="s">
        <v>299</v>
      </c>
      <c r="H34" t="s">
        <v>29</v>
      </c>
      <c r="I34" t="s">
        <v>44</v>
      </c>
      <c r="J34" t="s">
        <v>31</v>
      </c>
      <c r="K34" t="s">
        <v>205</v>
      </c>
      <c r="L34" t="s">
        <v>206</v>
      </c>
      <c r="M34" t="s">
        <v>47</v>
      </c>
      <c r="N34" t="s">
        <v>228</v>
      </c>
      <c r="O34" t="s">
        <v>300</v>
      </c>
      <c r="P34" t="s">
        <v>37</v>
      </c>
      <c r="Q34" t="s">
        <v>160</v>
      </c>
      <c r="R34" t="s">
        <v>301</v>
      </c>
      <c r="S34">
        <v>1038.8399999999999</v>
      </c>
      <c r="T34">
        <v>51.942</v>
      </c>
      <c r="U34">
        <v>0.05</v>
      </c>
      <c r="V34">
        <v>5</v>
      </c>
      <c r="W34">
        <v>0.2</v>
      </c>
      <c r="X34">
        <v>2015</v>
      </c>
      <c r="Y34">
        <v>2</v>
      </c>
      <c r="Z34" t="s">
        <v>162</v>
      </c>
    </row>
    <row r="35" spans="1:26" x14ac:dyDescent="0.35">
      <c r="A35">
        <v>305</v>
      </c>
      <c r="B35" t="s">
        <v>302</v>
      </c>
      <c r="C35" s="1">
        <v>42099</v>
      </c>
      <c r="D35" s="1">
        <v>42252</v>
      </c>
      <c r="E35">
        <v>153</v>
      </c>
      <c r="F35" t="s">
        <v>303</v>
      </c>
      <c r="G35" t="s">
        <v>304</v>
      </c>
      <c r="H35" t="s">
        <v>57</v>
      </c>
      <c r="I35" t="s">
        <v>30</v>
      </c>
      <c r="J35" t="s">
        <v>31</v>
      </c>
      <c r="K35" t="s">
        <v>124</v>
      </c>
      <c r="L35" t="s">
        <v>125</v>
      </c>
      <c r="M35" t="s">
        <v>126</v>
      </c>
      <c r="N35" t="s">
        <v>305</v>
      </c>
      <c r="O35" t="s">
        <v>306</v>
      </c>
      <c r="P35" t="s">
        <v>37</v>
      </c>
      <c r="Q35" t="s">
        <v>129</v>
      </c>
      <c r="R35" t="s">
        <v>307</v>
      </c>
      <c r="S35">
        <v>26.8</v>
      </c>
      <c r="T35">
        <v>12.864000000000001</v>
      </c>
      <c r="U35">
        <v>0.48000000000000004</v>
      </c>
      <c r="V35">
        <v>2</v>
      </c>
      <c r="W35">
        <v>0</v>
      </c>
      <c r="X35">
        <v>2015</v>
      </c>
      <c r="Y35">
        <v>4</v>
      </c>
      <c r="Z35" t="s">
        <v>85</v>
      </c>
    </row>
    <row r="36" spans="1:26" x14ac:dyDescent="0.35">
      <c r="A36">
        <v>307</v>
      </c>
      <c r="B36" t="s">
        <v>308</v>
      </c>
      <c r="C36" s="1">
        <v>41645</v>
      </c>
      <c r="D36" s="1">
        <v>41796</v>
      </c>
      <c r="E36">
        <v>151</v>
      </c>
      <c r="F36" t="s">
        <v>309</v>
      </c>
      <c r="G36" t="s">
        <v>310</v>
      </c>
      <c r="H36" t="s">
        <v>107</v>
      </c>
      <c r="I36" t="s">
        <v>44</v>
      </c>
      <c r="J36" t="s">
        <v>31</v>
      </c>
      <c r="K36" t="s">
        <v>311</v>
      </c>
      <c r="L36" t="s">
        <v>312</v>
      </c>
      <c r="M36" t="s">
        <v>126</v>
      </c>
      <c r="N36" t="s">
        <v>313</v>
      </c>
      <c r="O36" t="s">
        <v>314</v>
      </c>
      <c r="P36" t="s">
        <v>50</v>
      </c>
      <c r="Q36" t="s">
        <v>51</v>
      </c>
      <c r="R36" t="s">
        <v>315</v>
      </c>
      <c r="S36">
        <v>45.48</v>
      </c>
      <c r="T36">
        <v>20.9208</v>
      </c>
      <c r="U36">
        <v>0.46</v>
      </c>
      <c r="V36">
        <v>3</v>
      </c>
      <c r="W36">
        <v>0</v>
      </c>
      <c r="X36">
        <v>2014</v>
      </c>
      <c r="Y36">
        <v>1</v>
      </c>
      <c r="Z36" t="s">
        <v>147</v>
      </c>
    </row>
    <row r="37" spans="1:26" x14ac:dyDescent="0.35">
      <c r="A37">
        <v>318</v>
      </c>
      <c r="B37" t="s">
        <v>316</v>
      </c>
      <c r="C37" s="1">
        <v>41740</v>
      </c>
      <c r="D37" s="1">
        <v>41893</v>
      </c>
      <c r="E37">
        <v>153</v>
      </c>
      <c r="F37" t="s">
        <v>317</v>
      </c>
      <c r="G37" t="s">
        <v>318</v>
      </c>
      <c r="H37" t="s">
        <v>107</v>
      </c>
      <c r="I37" t="s">
        <v>44</v>
      </c>
      <c r="J37" t="s">
        <v>31</v>
      </c>
      <c r="K37" t="s">
        <v>124</v>
      </c>
      <c r="L37" t="s">
        <v>125</v>
      </c>
      <c r="M37" t="s">
        <v>126</v>
      </c>
      <c r="N37" t="s">
        <v>305</v>
      </c>
      <c r="O37" t="s">
        <v>319</v>
      </c>
      <c r="P37" t="s">
        <v>37</v>
      </c>
      <c r="Q37" t="s">
        <v>320</v>
      </c>
      <c r="R37" t="s">
        <v>321</v>
      </c>
      <c r="S37">
        <v>135.88200000000001</v>
      </c>
      <c r="T37">
        <v>24.1568</v>
      </c>
      <c r="U37">
        <v>0.17777777777777778</v>
      </c>
      <c r="V37">
        <v>1</v>
      </c>
      <c r="W37">
        <v>0.1</v>
      </c>
      <c r="X37">
        <v>2014</v>
      </c>
      <c r="Y37">
        <v>4</v>
      </c>
      <c r="Z37" t="s">
        <v>85</v>
      </c>
    </row>
    <row r="38" spans="1:26" x14ac:dyDescent="0.35">
      <c r="A38">
        <v>326</v>
      </c>
      <c r="B38" t="s">
        <v>322</v>
      </c>
      <c r="C38" s="1">
        <v>42805</v>
      </c>
      <c r="D38" s="1">
        <v>42866</v>
      </c>
      <c r="E38">
        <v>61</v>
      </c>
      <c r="F38" t="s">
        <v>323</v>
      </c>
      <c r="G38" t="s">
        <v>324</v>
      </c>
      <c r="H38" t="s">
        <v>57</v>
      </c>
      <c r="I38" t="s">
        <v>30</v>
      </c>
      <c r="J38" t="s">
        <v>31</v>
      </c>
      <c r="K38" t="s">
        <v>166</v>
      </c>
      <c r="L38" t="s">
        <v>325</v>
      </c>
      <c r="M38" t="s">
        <v>34</v>
      </c>
      <c r="N38" t="s">
        <v>326</v>
      </c>
      <c r="O38" t="s">
        <v>327</v>
      </c>
      <c r="P38" t="s">
        <v>37</v>
      </c>
      <c r="Q38" t="s">
        <v>129</v>
      </c>
      <c r="R38" t="s">
        <v>328</v>
      </c>
      <c r="S38">
        <v>15.992000000000001</v>
      </c>
      <c r="T38">
        <v>0.99950000000000006</v>
      </c>
      <c r="U38">
        <v>6.25E-2</v>
      </c>
      <c r="V38">
        <v>1</v>
      </c>
      <c r="W38">
        <v>0.2</v>
      </c>
      <c r="X38">
        <v>2017</v>
      </c>
      <c r="Y38">
        <v>3</v>
      </c>
      <c r="Z38" t="s">
        <v>103</v>
      </c>
    </row>
    <row r="39" spans="1:26" x14ac:dyDescent="0.35">
      <c r="A39">
        <v>335</v>
      </c>
      <c r="B39" t="s">
        <v>329</v>
      </c>
      <c r="C39" s="1">
        <v>42013</v>
      </c>
      <c r="D39" s="1">
        <v>42103</v>
      </c>
      <c r="E39">
        <v>90</v>
      </c>
      <c r="F39" t="s">
        <v>330</v>
      </c>
      <c r="G39" t="s">
        <v>331</v>
      </c>
      <c r="H39" t="s">
        <v>29</v>
      </c>
      <c r="I39" t="s">
        <v>30</v>
      </c>
      <c r="J39" t="s">
        <v>31</v>
      </c>
      <c r="K39" t="s">
        <v>205</v>
      </c>
      <c r="L39" t="s">
        <v>206</v>
      </c>
      <c r="M39" t="s">
        <v>47</v>
      </c>
      <c r="N39" t="s">
        <v>207</v>
      </c>
      <c r="O39" t="s">
        <v>332</v>
      </c>
      <c r="P39" t="s">
        <v>50</v>
      </c>
      <c r="Q39" t="s">
        <v>51</v>
      </c>
      <c r="R39" t="s">
        <v>333</v>
      </c>
      <c r="S39">
        <v>4.7519999999999998</v>
      </c>
      <c r="T39">
        <v>1.6037999999999999</v>
      </c>
      <c r="U39">
        <v>0.33749999999999997</v>
      </c>
      <c r="V39">
        <v>1</v>
      </c>
      <c r="W39">
        <v>0.2</v>
      </c>
      <c r="X39">
        <v>2015</v>
      </c>
      <c r="Y39">
        <v>1</v>
      </c>
      <c r="Z39" t="s">
        <v>147</v>
      </c>
    </row>
    <row r="40" spans="1:26" x14ac:dyDescent="0.35">
      <c r="A40">
        <v>347</v>
      </c>
      <c r="B40" t="s">
        <v>334</v>
      </c>
      <c r="C40" s="1">
        <v>42954</v>
      </c>
      <c r="D40" s="1">
        <v>43076</v>
      </c>
      <c r="E40">
        <v>122</v>
      </c>
      <c r="F40" t="s">
        <v>335</v>
      </c>
      <c r="G40" t="s">
        <v>336</v>
      </c>
      <c r="H40" t="s">
        <v>29</v>
      </c>
      <c r="I40" t="s">
        <v>44</v>
      </c>
      <c r="J40" t="s">
        <v>31</v>
      </c>
      <c r="K40" t="s">
        <v>337</v>
      </c>
      <c r="L40" t="s">
        <v>338</v>
      </c>
      <c r="M40" t="s">
        <v>126</v>
      </c>
      <c r="N40" t="s">
        <v>339</v>
      </c>
      <c r="O40" t="s">
        <v>340</v>
      </c>
      <c r="P40" t="s">
        <v>50</v>
      </c>
      <c r="Q40" t="s">
        <v>74</v>
      </c>
      <c r="R40" t="s">
        <v>341</v>
      </c>
      <c r="S40">
        <v>7.56</v>
      </c>
      <c r="T40">
        <v>3.0996000000000001</v>
      </c>
      <c r="U40">
        <v>0.41000000000000003</v>
      </c>
      <c r="V40">
        <v>3</v>
      </c>
      <c r="W40">
        <v>0</v>
      </c>
      <c r="X40">
        <v>2017</v>
      </c>
      <c r="Y40">
        <v>8</v>
      </c>
      <c r="Z40" t="s">
        <v>40</v>
      </c>
    </row>
    <row r="41" spans="1:26" x14ac:dyDescent="0.35">
      <c r="A41">
        <v>360</v>
      </c>
      <c r="B41" t="s">
        <v>342</v>
      </c>
      <c r="C41" s="1">
        <v>42950</v>
      </c>
      <c r="D41" s="1">
        <v>43042</v>
      </c>
      <c r="E41">
        <v>92</v>
      </c>
      <c r="F41" t="s">
        <v>343</v>
      </c>
      <c r="G41" t="s">
        <v>344</v>
      </c>
      <c r="H41" t="s">
        <v>57</v>
      </c>
      <c r="I41" t="s">
        <v>58</v>
      </c>
      <c r="J41" t="s">
        <v>31</v>
      </c>
      <c r="K41" t="s">
        <v>345</v>
      </c>
      <c r="L41" t="s">
        <v>182</v>
      </c>
      <c r="M41" t="s">
        <v>34</v>
      </c>
      <c r="N41" t="s">
        <v>346</v>
      </c>
      <c r="O41" t="s">
        <v>347</v>
      </c>
      <c r="P41" t="s">
        <v>50</v>
      </c>
      <c r="Q41" t="s">
        <v>138</v>
      </c>
      <c r="R41" t="s">
        <v>348</v>
      </c>
      <c r="S41">
        <v>647.84</v>
      </c>
      <c r="T41">
        <v>168.4384</v>
      </c>
      <c r="U41">
        <v>0.26</v>
      </c>
      <c r="V41">
        <v>8</v>
      </c>
      <c r="W41">
        <v>0</v>
      </c>
      <c r="X41">
        <v>2017</v>
      </c>
      <c r="Y41">
        <v>8</v>
      </c>
      <c r="Z41" t="s">
        <v>40</v>
      </c>
    </row>
    <row r="42" spans="1:26" x14ac:dyDescent="0.35">
      <c r="A42">
        <v>387</v>
      </c>
      <c r="B42" t="s">
        <v>349</v>
      </c>
      <c r="C42" s="1">
        <v>42075</v>
      </c>
      <c r="D42" s="1">
        <v>42197</v>
      </c>
      <c r="E42">
        <v>122</v>
      </c>
      <c r="F42" t="s">
        <v>350</v>
      </c>
      <c r="G42" t="s">
        <v>351</v>
      </c>
      <c r="H42" t="s">
        <v>57</v>
      </c>
      <c r="I42" t="s">
        <v>44</v>
      </c>
      <c r="J42" t="s">
        <v>31</v>
      </c>
      <c r="K42" t="s">
        <v>189</v>
      </c>
      <c r="L42" t="s">
        <v>190</v>
      </c>
      <c r="M42" t="s">
        <v>126</v>
      </c>
      <c r="N42" t="s">
        <v>191</v>
      </c>
      <c r="O42" t="s">
        <v>352</v>
      </c>
      <c r="P42" t="s">
        <v>64</v>
      </c>
      <c r="Q42" t="s">
        <v>353</v>
      </c>
      <c r="R42" t="s">
        <v>354</v>
      </c>
      <c r="S42">
        <v>482.34</v>
      </c>
      <c r="T42">
        <v>-337.63799999999998</v>
      </c>
      <c r="U42">
        <v>-0.7</v>
      </c>
      <c r="V42">
        <v>4</v>
      </c>
      <c r="W42">
        <v>0.7</v>
      </c>
      <c r="X42">
        <v>2015</v>
      </c>
      <c r="Y42">
        <v>3</v>
      </c>
      <c r="Z42" t="s">
        <v>103</v>
      </c>
    </row>
    <row r="43" spans="1:26" x14ac:dyDescent="0.35">
      <c r="A43">
        <v>394</v>
      </c>
      <c r="B43" t="s">
        <v>355</v>
      </c>
      <c r="C43" s="1">
        <v>41826</v>
      </c>
      <c r="D43" s="1">
        <v>41918</v>
      </c>
      <c r="E43">
        <v>92</v>
      </c>
      <c r="F43" t="s">
        <v>356</v>
      </c>
      <c r="G43" t="s">
        <v>357</v>
      </c>
      <c r="H43" t="s">
        <v>57</v>
      </c>
      <c r="I43" t="s">
        <v>30</v>
      </c>
      <c r="J43" t="s">
        <v>31</v>
      </c>
      <c r="K43" t="s">
        <v>234</v>
      </c>
      <c r="L43" t="s">
        <v>358</v>
      </c>
      <c r="M43" t="s">
        <v>61</v>
      </c>
      <c r="N43" t="s">
        <v>359</v>
      </c>
      <c r="O43" t="s">
        <v>360</v>
      </c>
      <c r="P43" t="s">
        <v>50</v>
      </c>
      <c r="Q43" t="s">
        <v>51</v>
      </c>
      <c r="R43" t="s">
        <v>361</v>
      </c>
      <c r="S43">
        <v>12.462</v>
      </c>
      <c r="T43">
        <v>-20.5623</v>
      </c>
      <c r="U43">
        <v>-1.6500000000000001</v>
      </c>
      <c r="V43">
        <v>3</v>
      </c>
      <c r="W43">
        <v>0.8</v>
      </c>
      <c r="X43">
        <v>2014</v>
      </c>
      <c r="Y43">
        <v>7</v>
      </c>
      <c r="Z43" t="s">
        <v>217</v>
      </c>
    </row>
    <row r="44" spans="1:26" x14ac:dyDescent="0.35">
      <c r="A44">
        <v>399</v>
      </c>
      <c r="B44" t="s">
        <v>362</v>
      </c>
      <c r="C44" s="1">
        <v>42591</v>
      </c>
      <c r="D44" s="1">
        <v>42652</v>
      </c>
      <c r="E44">
        <v>61</v>
      </c>
      <c r="F44" t="s">
        <v>363</v>
      </c>
      <c r="G44" t="s">
        <v>364</v>
      </c>
      <c r="H44" t="s">
        <v>29</v>
      </c>
      <c r="I44" t="s">
        <v>30</v>
      </c>
      <c r="J44" t="s">
        <v>31</v>
      </c>
      <c r="K44" t="s">
        <v>59</v>
      </c>
      <c r="L44" t="s">
        <v>89</v>
      </c>
      <c r="M44" t="s">
        <v>61</v>
      </c>
      <c r="N44" t="s">
        <v>365</v>
      </c>
      <c r="O44" t="s">
        <v>366</v>
      </c>
      <c r="P44" t="s">
        <v>50</v>
      </c>
      <c r="Q44" t="s">
        <v>110</v>
      </c>
      <c r="R44" t="s">
        <v>367</v>
      </c>
      <c r="S44">
        <v>35.951999999999998</v>
      </c>
      <c r="T44">
        <v>3.5952000000000002</v>
      </c>
      <c r="U44">
        <v>0.1</v>
      </c>
      <c r="V44">
        <v>3</v>
      </c>
      <c r="W44">
        <v>0.2</v>
      </c>
      <c r="X44">
        <v>2016</v>
      </c>
      <c r="Y44">
        <v>8</v>
      </c>
      <c r="Z44" t="s">
        <v>40</v>
      </c>
    </row>
    <row r="45" spans="1:26" x14ac:dyDescent="0.35">
      <c r="A45">
        <v>406</v>
      </c>
      <c r="B45" t="s">
        <v>368</v>
      </c>
      <c r="C45" s="1">
        <v>42959</v>
      </c>
      <c r="D45" s="1">
        <v>43081</v>
      </c>
      <c r="E45">
        <v>122</v>
      </c>
      <c r="F45" t="s">
        <v>369</v>
      </c>
      <c r="G45" t="s">
        <v>370</v>
      </c>
      <c r="H45" t="s">
        <v>29</v>
      </c>
      <c r="I45" t="s">
        <v>44</v>
      </c>
      <c r="J45" t="s">
        <v>31</v>
      </c>
      <c r="K45" t="s">
        <v>205</v>
      </c>
      <c r="L45" t="s">
        <v>371</v>
      </c>
      <c r="M45" t="s">
        <v>47</v>
      </c>
      <c r="N45" t="s">
        <v>372</v>
      </c>
      <c r="O45" t="s">
        <v>373</v>
      </c>
      <c r="P45" t="s">
        <v>64</v>
      </c>
      <c r="Q45" t="s">
        <v>288</v>
      </c>
      <c r="R45" t="s">
        <v>374</v>
      </c>
      <c r="S45">
        <v>179.95</v>
      </c>
      <c r="T45">
        <v>37.789499999999997</v>
      </c>
      <c r="U45">
        <v>0.21</v>
      </c>
      <c r="V45">
        <v>5</v>
      </c>
      <c r="W45">
        <v>0</v>
      </c>
      <c r="X45">
        <v>2017</v>
      </c>
      <c r="Y45">
        <v>8</v>
      </c>
      <c r="Z45" t="s">
        <v>40</v>
      </c>
    </row>
    <row r="46" spans="1:26" x14ac:dyDescent="0.35">
      <c r="A46">
        <v>415</v>
      </c>
      <c r="B46" t="s">
        <v>375</v>
      </c>
      <c r="C46" s="1">
        <v>42805</v>
      </c>
      <c r="D46" s="1">
        <v>42927</v>
      </c>
      <c r="E46">
        <v>122</v>
      </c>
      <c r="F46" t="s">
        <v>376</v>
      </c>
      <c r="G46" t="s">
        <v>377</v>
      </c>
      <c r="H46" t="s">
        <v>57</v>
      </c>
      <c r="I46" t="s">
        <v>44</v>
      </c>
      <c r="J46" t="s">
        <v>31</v>
      </c>
      <c r="K46" t="s">
        <v>45</v>
      </c>
      <c r="L46" t="s">
        <v>46</v>
      </c>
      <c r="M46" t="s">
        <v>47</v>
      </c>
      <c r="N46" t="s">
        <v>378</v>
      </c>
      <c r="O46" t="s">
        <v>379</v>
      </c>
      <c r="P46" t="s">
        <v>50</v>
      </c>
      <c r="Q46" t="s">
        <v>83</v>
      </c>
      <c r="R46" t="s">
        <v>380</v>
      </c>
      <c r="S46">
        <v>139.86000000000001</v>
      </c>
      <c r="T46">
        <v>65.734200000000001</v>
      </c>
      <c r="U46">
        <v>0.47</v>
      </c>
      <c r="V46">
        <v>7</v>
      </c>
      <c r="W46">
        <v>0</v>
      </c>
      <c r="X46">
        <v>2017</v>
      </c>
      <c r="Y46">
        <v>3</v>
      </c>
      <c r="Z46" t="s">
        <v>103</v>
      </c>
    </row>
    <row r="47" spans="1:26" x14ac:dyDescent="0.35">
      <c r="A47">
        <v>419</v>
      </c>
      <c r="B47" t="s">
        <v>381</v>
      </c>
      <c r="C47" s="1">
        <v>42897</v>
      </c>
      <c r="D47" s="1">
        <v>43019</v>
      </c>
      <c r="E47">
        <v>122</v>
      </c>
      <c r="F47" t="s">
        <v>343</v>
      </c>
      <c r="G47" t="s">
        <v>344</v>
      </c>
      <c r="H47" t="s">
        <v>57</v>
      </c>
      <c r="I47" t="s">
        <v>44</v>
      </c>
      <c r="J47" t="s">
        <v>31</v>
      </c>
      <c r="K47" t="s">
        <v>32</v>
      </c>
      <c r="L47" t="s">
        <v>382</v>
      </c>
      <c r="M47" t="s">
        <v>34</v>
      </c>
      <c r="N47" t="s">
        <v>383</v>
      </c>
      <c r="O47" t="s">
        <v>384</v>
      </c>
      <c r="P47" t="s">
        <v>50</v>
      </c>
      <c r="Q47" t="s">
        <v>83</v>
      </c>
      <c r="R47" t="s">
        <v>385</v>
      </c>
      <c r="S47">
        <v>5.78</v>
      </c>
      <c r="T47">
        <v>2.8321999999999998</v>
      </c>
      <c r="U47">
        <v>0.48999999999999994</v>
      </c>
      <c r="V47">
        <v>1</v>
      </c>
      <c r="W47">
        <v>0</v>
      </c>
      <c r="X47">
        <v>2017</v>
      </c>
      <c r="Y47">
        <v>6</v>
      </c>
      <c r="Z47" t="s">
        <v>120</v>
      </c>
    </row>
    <row r="48" spans="1:26" x14ac:dyDescent="0.35">
      <c r="A48">
        <v>420</v>
      </c>
      <c r="B48" t="s">
        <v>386</v>
      </c>
      <c r="C48" s="1">
        <v>42828</v>
      </c>
      <c r="D48" s="1">
        <v>42981</v>
      </c>
      <c r="E48">
        <v>153</v>
      </c>
      <c r="F48" t="s">
        <v>387</v>
      </c>
      <c r="G48" t="s">
        <v>388</v>
      </c>
      <c r="H48" t="s">
        <v>57</v>
      </c>
      <c r="I48" t="s">
        <v>44</v>
      </c>
      <c r="J48" t="s">
        <v>31</v>
      </c>
      <c r="K48" t="s">
        <v>205</v>
      </c>
      <c r="L48" t="s">
        <v>206</v>
      </c>
      <c r="M48" t="s">
        <v>47</v>
      </c>
      <c r="N48" t="s">
        <v>207</v>
      </c>
      <c r="O48" t="s">
        <v>389</v>
      </c>
      <c r="P48" t="s">
        <v>50</v>
      </c>
      <c r="Q48" t="s">
        <v>74</v>
      </c>
      <c r="R48" t="s">
        <v>390</v>
      </c>
      <c r="S48">
        <v>9.32</v>
      </c>
      <c r="T48">
        <v>2.7027999999999999</v>
      </c>
      <c r="U48">
        <v>0.28999999999999998</v>
      </c>
      <c r="V48">
        <v>4</v>
      </c>
      <c r="W48">
        <v>0</v>
      </c>
      <c r="X48">
        <v>2017</v>
      </c>
      <c r="Y48">
        <v>4</v>
      </c>
      <c r="Z48" t="s">
        <v>85</v>
      </c>
    </row>
    <row r="49" spans="1:26" x14ac:dyDescent="0.35">
      <c r="A49">
        <v>429</v>
      </c>
      <c r="B49" t="s">
        <v>391</v>
      </c>
      <c r="C49" s="1">
        <v>42745</v>
      </c>
      <c r="D49" s="1">
        <v>42957</v>
      </c>
      <c r="E49">
        <v>212</v>
      </c>
      <c r="F49" t="s">
        <v>392</v>
      </c>
      <c r="G49" t="s">
        <v>393</v>
      </c>
      <c r="H49" t="s">
        <v>57</v>
      </c>
      <c r="I49" t="s">
        <v>44</v>
      </c>
      <c r="J49" t="s">
        <v>31</v>
      </c>
      <c r="K49" t="s">
        <v>59</v>
      </c>
      <c r="L49" t="s">
        <v>221</v>
      </c>
      <c r="M49" t="s">
        <v>61</v>
      </c>
      <c r="N49" t="s">
        <v>222</v>
      </c>
      <c r="O49" t="s">
        <v>394</v>
      </c>
      <c r="P49" t="s">
        <v>50</v>
      </c>
      <c r="Q49" t="s">
        <v>74</v>
      </c>
      <c r="R49" t="s">
        <v>395</v>
      </c>
      <c r="S49">
        <v>6.6719999999999997</v>
      </c>
      <c r="T49">
        <v>0.50039999999999996</v>
      </c>
      <c r="U49">
        <v>7.4999999999999997E-2</v>
      </c>
      <c r="V49">
        <v>6</v>
      </c>
      <c r="W49">
        <v>0.2</v>
      </c>
      <c r="X49">
        <v>2017</v>
      </c>
      <c r="Y49">
        <v>1</v>
      </c>
      <c r="Z49" t="s">
        <v>147</v>
      </c>
    </row>
    <row r="50" spans="1:26" x14ac:dyDescent="0.35">
      <c r="A50">
        <v>434</v>
      </c>
      <c r="B50" t="s">
        <v>396</v>
      </c>
      <c r="C50" s="1">
        <v>42527</v>
      </c>
      <c r="D50" s="1">
        <v>42557</v>
      </c>
      <c r="E50">
        <v>30</v>
      </c>
      <c r="F50" t="s">
        <v>397</v>
      </c>
      <c r="G50" t="s">
        <v>398</v>
      </c>
      <c r="H50" t="s">
        <v>29</v>
      </c>
      <c r="I50" t="s">
        <v>58</v>
      </c>
      <c r="J50" t="s">
        <v>31</v>
      </c>
      <c r="K50" t="s">
        <v>337</v>
      </c>
      <c r="L50" t="s">
        <v>338</v>
      </c>
      <c r="M50" t="s">
        <v>126</v>
      </c>
      <c r="N50" t="s">
        <v>339</v>
      </c>
      <c r="O50" t="s">
        <v>399</v>
      </c>
      <c r="P50" t="s">
        <v>50</v>
      </c>
      <c r="Q50" t="s">
        <v>110</v>
      </c>
      <c r="R50" t="s">
        <v>400</v>
      </c>
      <c r="S50">
        <v>714.3</v>
      </c>
      <c r="T50">
        <v>207.14699999999999</v>
      </c>
      <c r="U50">
        <v>0.28999999999999998</v>
      </c>
      <c r="V50">
        <v>5</v>
      </c>
      <c r="W50">
        <v>0</v>
      </c>
      <c r="X50">
        <v>2016</v>
      </c>
      <c r="Y50">
        <v>6</v>
      </c>
      <c r="Z50" t="s">
        <v>120</v>
      </c>
    </row>
    <row r="51" spans="1:26" x14ac:dyDescent="0.35">
      <c r="A51">
        <v>441</v>
      </c>
      <c r="B51" t="s">
        <v>401</v>
      </c>
      <c r="C51" s="1">
        <v>42499</v>
      </c>
      <c r="D51" s="1">
        <v>42560</v>
      </c>
      <c r="E51">
        <v>61</v>
      </c>
      <c r="F51" t="s">
        <v>402</v>
      </c>
      <c r="G51" t="s">
        <v>403</v>
      </c>
      <c r="H51" t="s">
        <v>29</v>
      </c>
      <c r="I51" t="s">
        <v>30</v>
      </c>
      <c r="J51" t="s">
        <v>31</v>
      </c>
      <c r="K51" t="s">
        <v>256</v>
      </c>
      <c r="L51" t="s">
        <v>404</v>
      </c>
      <c r="M51" t="s">
        <v>61</v>
      </c>
      <c r="N51" t="s">
        <v>405</v>
      </c>
      <c r="O51" t="s">
        <v>406</v>
      </c>
      <c r="P51" t="s">
        <v>37</v>
      </c>
      <c r="Q51" t="s">
        <v>129</v>
      </c>
      <c r="R51" t="s">
        <v>407</v>
      </c>
      <c r="S51">
        <v>12.22</v>
      </c>
      <c r="T51">
        <v>3.6659999999999999</v>
      </c>
      <c r="U51">
        <v>0.3</v>
      </c>
      <c r="V51">
        <v>1</v>
      </c>
      <c r="W51">
        <v>0</v>
      </c>
      <c r="X51">
        <v>2016</v>
      </c>
      <c r="Y51">
        <v>5</v>
      </c>
      <c r="Z51" t="s">
        <v>53</v>
      </c>
    </row>
    <row r="52" spans="1:26" x14ac:dyDescent="0.35">
      <c r="A52">
        <v>448</v>
      </c>
      <c r="B52" t="s">
        <v>408</v>
      </c>
      <c r="C52" s="1">
        <v>42373</v>
      </c>
      <c r="D52" s="1">
        <v>42433</v>
      </c>
      <c r="E52">
        <v>60</v>
      </c>
      <c r="F52" t="s">
        <v>409</v>
      </c>
      <c r="G52" t="s">
        <v>410</v>
      </c>
      <c r="H52" t="s">
        <v>29</v>
      </c>
      <c r="I52" t="s">
        <v>30</v>
      </c>
      <c r="J52" t="s">
        <v>31</v>
      </c>
      <c r="K52" t="s">
        <v>124</v>
      </c>
      <c r="L52" t="s">
        <v>411</v>
      </c>
      <c r="M52" t="s">
        <v>126</v>
      </c>
      <c r="N52" t="s">
        <v>412</v>
      </c>
      <c r="O52" t="s">
        <v>413</v>
      </c>
      <c r="P52" t="s">
        <v>50</v>
      </c>
      <c r="Q52" t="s">
        <v>74</v>
      </c>
      <c r="R52" t="s">
        <v>414</v>
      </c>
      <c r="S52">
        <v>59.52</v>
      </c>
      <c r="T52">
        <v>15.475199999999999</v>
      </c>
      <c r="U52">
        <v>0.25999999999999995</v>
      </c>
      <c r="V52">
        <v>3</v>
      </c>
      <c r="W52">
        <v>0</v>
      </c>
      <c r="X52">
        <v>2016</v>
      </c>
      <c r="Y52">
        <v>1</v>
      </c>
      <c r="Z52" t="s">
        <v>147</v>
      </c>
    </row>
    <row r="53" spans="1:26" x14ac:dyDescent="0.35">
      <c r="A53">
        <v>472</v>
      </c>
      <c r="B53" t="s">
        <v>415</v>
      </c>
      <c r="C53" s="1">
        <v>41893</v>
      </c>
      <c r="D53" s="1">
        <v>41954</v>
      </c>
      <c r="E53">
        <v>61</v>
      </c>
      <c r="F53" t="s">
        <v>416</v>
      </c>
      <c r="G53" t="s">
        <v>417</v>
      </c>
      <c r="H53" t="s">
        <v>29</v>
      </c>
      <c r="I53" t="s">
        <v>30</v>
      </c>
      <c r="J53" t="s">
        <v>31</v>
      </c>
      <c r="K53" t="s">
        <v>205</v>
      </c>
      <c r="L53" t="s">
        <v>371</v>
      </c>
      <c r="M53" t="s">
        <v>47</v>
      </c>
      <c r="N53" t="s">
        <v>372</v>
      </c>
      <c r="O53" t="s">
        <v>418</v>
      </c>
      <c r="P53" t="s">
        <v>50</v>
      </c>
      <c r="Q53" t="s">
        <v>110</v>
      </c>
      <c r="R53" t="s">
        <v>419</v>
      </c>
      <c r="S53">
        <v>340.92</v>
      </c>
      <c r="T53">
        <v>3.4091999999999998</v>
      </c>
      <c r="U53">
        <v>9.9999999999999985E-3</v>
      </c>
      <c r="V53">
        <v>3</v>
      </c>
      <c r="W53">
        <v>0</v>
      </c>
      <c r="X53">
        <v>2014</v>
      </c>
      <c r="Y53">
        <v>9</v>
      </c>
      <c r="Z53" t="s">
        <v>93</v>
      </c>
    </row>
    <row r="54" spans="1:26" x14ac:dyDescent="0.35">
      <c r="A54">
        <v>482</v>
      </c>
      <c r="B54" t="s">
        <v>420</v>
      </c>
      <c r="C54" s="1">
        <v>41800</v>
      </c>
      <c r="D54" s="1">
        <v>41922</v>
      </c>
      <c r="E54">
        <v>122</v>
      </c>
      <c r="F54" t="s">
        <v>421</v>
      </c>
      <c r="G54" t="s">
        <v>422</v>
      </c>
      <c r="H54" t="s">
        <v>29</v>
      </c>
      <c r="I54" t="s">
        <v>44</v>
      </c>
      <c r="J54" t="s">
        <v>31</v>
      </c>
      <c r="K54" t="s">
        <v>205</v>
      </c>
      <c r="L54" t="s">
        <v>423</v>
      </c>
      <c r="M54" t="s">
        <v>47</v>
      </c>
      <c r="N54" t="s">
        <v>424</v>
      </c>
      <c r="O54" t="s">
        <v>425</v>
      </c>
      <c r="P54" t="s">
        <v>64</v>
      </c>
      <c r="Q54" t="s">
        <v>288</v>
      </c>
      <c r="R54" t="s">
        <v>426</v>
      </c>
      <c r="S54">
        <v>9.09</v>
      </c>
      <c r="T54">
        <v>1.9089</v>
      </c>
      <c r="U54">
        <v>0.21000000000000002</v>
      </c>
      <c r="V54">
        <v>3</v>
      </c>
      <c r="W54">
        <v>0</v>
      </c>
      <c r="X54">
        <v>2014</v>
      </c>
      <c r="Y54">
        <v>6</v>
      </c>
      <c r="Z54" t="s">
        <v>120</v>
      </c>
    </row>
    <row r="55" spans="1:26" x14ac:dyDescent="0.35">
      <c r="A55">
        <v>529</v>
      </c>
      <c r="B55" t="s">
        <v>427</v>
      </c>
      <c r="C55" s="1">
        <v>42072</v>
      </c>
      <c r="D55" s="1">
        <v>42194</v>
      </c>
      <c r="E55">
        <v>122</v>
      </c>
      <c r="F55" t="s">
        <v>428</v>
      </c>
      <c r="G55" t="s">
        <v>429</v>
      </c>
      <c r="H55" t="s">
        <v>29</v>
      </c>
      <c r="I55" t="s">
        <v>44</v>
      </c>
      <c r="J55" t="s">
        <v>31</v>
      </c>
      <c r="K55" t="s">
        <v>189</v>
      </c>
      <c r="L55" t="s">
        <v>190</v>
      </c>
      <c r="M55" t="s">
        <v>126</v>
      </c>
      <c r="N55" t="s">
        <v>430</v>
      </c>
      <c r="O55" t="s">
        <v>431</v>
      </c>
      <c r="P55" t="s">
        <v>50</v>
      </c>
      <c r="Q55" t="s">
        <v>110</v>
      </c>
      <c r="R55" t="s">
        <v>432</v>
      </c>
      <c r="S55">
        <v>36.335999999999999</v>
      </c>
      <c r="T55">
        <v>-7.2671999999999999</v>
      </c>
      <c r="U55">
        <v>-0.2</v>
      </c>
      <c r="V55">
        <v>3</v>
      </c>
      <c r="W55">
        <v>0.2</v>
      </c>
      <c r="X55">
        <v>2015</v>
      </c>
      <c r="Y55">
        <v>3</v>
      </c>
      <c r="Z55" t="s">
        <v>103</v>
      </c>
    </row>
    <row r="56" spans="1:26" x14ac:dyDescent="0.35">
      <c r="A56">
        <v>532</v>
      </c>
      <c r="B56" t="s">
        <v>433</v>
      </c>
      <c r="C56" s="1">
        <v>42196</v>
      </c>
      <c r="D56" s="1">
        <v>42258</v>
      </c>
      <c r="E56">
        <v>62</v>
      </c>
      <c r="F56" t="s">
        <v>434</v>
      </c>
      <c r="G56" t="s">
        <v>435</v>
      </c>
      <c r="H56" t="s">
        <v>57</v>
      </c>
      <c r="I56" t="s">
        <v>30</v>
      </c>
      <c r="J56" t="s">
        <v>31</v>
      </c>
      <c r="K56" t="s">
        <v>205</v>
      </c>
      <c r="L56" t="s">
        <v>206</v>
      </c>
      <c r="M56" t="s">
        <v>47</v>
      </c>
      <c r="N56" t="s">
        <v>436</v>
      </c>
      <c r="O56" t="s">
        <v>437</v>
      </c>
      <c r="P56" t="s">
        <v>37</v>
      </c>
      <c r="Q56" t="s">
        <v>320</v>
      </c>
      <c r="R56" t="s">
        <v>438</v>
      </c>
      <c r="S56">
        <v>190.72</v>
      </c>
      <c r="T56">
        <v>11.92</v>
      </c>
      <c r="U56">
        <v>6.25E-2</v>
      </c>
      <c r="V56">
        <v>1</v>
      </c>
      <c r="W56">
        <v>0.2</v>
      </c>
      <c r="X56">
        <v>2015</v>
      </c>
      <c r="Y56">
        <v>7</v>
      </c>
      <c r="Z56" t="s">
        <v>217</v>
      </c>
    </row>
    <row r="57" spans="1:26" x14ac:dyDescent="0.35">
      <c r="A57">
        <v>533</v>
      </c>
      <c r="B57" t="s">
        <v>439</v>
      </c>
      <c r="C57" s="1">
        <v>42925</v>
      </c>
      <c r="D57" s="1">
        <v>43048</v>
      </c>
      <c r="E57">
        <v>123</v>
      </c>
      <c r="F57" t="s">
        <v>440</v>
      </c>
      <c r="G57" t="s">
        <v>441</v>
      </c>
      <c r="H57" t="s">
        <v>29</v>
      </c>
      <c r="I57" t="s">
        <v>44</v>
      </c>
      <c r="J57" t="s">
        <v>31</v>
      </c>
      <c r="K57" t="s">
        <v>205</v>
      </c>
      <c r="L57" t="s">
        <v>206</v>
      </c>
      <c r="M57" t="s">
        <v>47</v>
      </c>
      <c r="N57" t="s">
        <v>442</v>
      </c>
      <c r="O57" t="s">
        <v>443</v>
      </c>
      <c r="P57" t="s">
        <v>37</v>
      </c>
      <c r="Q57" t="s">
        <v>129</v>
      </c>
      <c r="R57" t="s">
        <v>444</v>
      </c>
      <c r="S57">
        <v>47.94</v>
      </c>
      <c r="T57">
        <v>2.3969999999999998</v>
      </c>
      <c r="U57">
        <v>4.9999999999999996E-2</v>
      </c>
      <c r="V57">
        <v>3</v>
      </c>
      <c r="W57">
        <v>0</v>
      </c>
      <c r="X57">
        <v>2017</v>
      </c>
      <c r="Y57">
        <v>7</v>
      </c>
      <c r="Z57" t="s">
        <v>217</v>
      </c>
    </row>
    <row r="58" spans="1:26" x14ac:dyDescent="0.35">
      <c r="A58">
        <v>537</v>
      </c>
      <c r="B58" t="s">
        <v>445</v>
      </c>
      <c r="C58" s="1">
        <v>42803</v>
      </c>
      <c r="D58" s="1">
        <v>42956</v>
      </c>
      <c r="E58">
        <v>153</v>
      </c>
      <c r="F58" t="s">
        <v>446</v>
      </c>
      <c r="G58" t="s">
        <v>447</v>
      </c>
      <c r="H58" t="s">
        <v>29</v>
      </c>
      <c r="I58" t="s">
        <v>30</v>
      </c>
      <c r="J58" t="s">
        <v>31</v>
      </c>
      <c r="K58" t="s">
        <v>234</v>
      </c>
      <c r="L58" t="s">
        <v>280</v>
      </c>
      <c r="M58" t="s">
        <v>61</v>
      </c>
      <c r="N58" t="s">
        <v>448</v>
      </c>
      <c r="O58" t="s">
        <v>449</v>
      </c>
      <c r="P58" t="s">
        <v>50</v>
      </c>
      <c r="Q58" t="s">
        <v>51</v>
      </c>
      <c r="R58" t="s">
        <v>450</v>
      </c>
      <c r="S58">
        <v>42.616</v>
      </c>
      <c r="T58">
        <v>-68.185599999999994</v>
      </c>
      <c r="U58">
        <v>-1.5999999999999999</v>
      </c>
      <c r="V58">
        <v>7</v>
      </c>
      <c r="W58">
        <v>0.8</v>
      </c>
      <c r="X58">
        <v>2017</v>
      </c>
      <c r="Y58">
        <v>3</v>
      </c>
      <c r="Z58" t="s">
        <v>103</v>
      </c>
    </row>
    <row r="59" spans="1:26" x14ac:dyDescent="0.35">
      <c r="A59">
        <v>538</v>
      </c>
      <c r="B59" t="s">
        <v>451</v>
      </c>
      <c r="C59" s="1">
        <v>42075</v>
      </c>
      <c r="D59" s="1">
        <v>42228</v>
      </c>
      <c r="E59">
        <v>153</v>
      </c>
      <c r="F59" t="s">
        <v>452</v>
      </c>
      <c r="G59" t="s">
        <v>453</v>
      </c>
      <c r="H59" t="s">
        <v>107</v>
      </c>
      <c r="I59" t="s">
        <v>44</v>
      </c>
      <c r="J59" t="s">
        <v>31</v>
      </c>
      <c r="K59" t="s">
        <v>124</v>
      </c>
      <c r="L59" t="s">
        <v>125</v>
      </c>
      <c r="M59" t="s">
        <v>126</v>
      </c>
      <c r="N59" t="s">
        <v>127</v>
      </c>
      <c r="O59" t="s">
        <v>454</v>
      </c>
      <c r="P59" t="s">
        <v>50</v>
      </c>
      <c r="Q59" t="s">
        <v>51</v>
      </c>
      <c r="R59" t="s">
        <v>455</v>
      </c>
      <c r="S59">
        <v>10.752000000000001</v>
      </c>
      <c r="T59">
        <v>3.36</v>
      </c>
      <c r="U59">
        <v>0.31249999999999994</v>
      </c>
      <c r="V59">
        <v>4</v>
      </c>
      <c r="W59">
        <v>0.2</v>
      </c>
      <c r="X59">
        <v>2015</v>
      </c>
      <c r="Y59">
        <v>3</v>
      </c>
      <c r="Z59" t="s">
        <v>103</v>
      </c>
    </row>
    <row r="60" spans="1:26" x14ac:dyDescent="0.35">
      <c r="A60">
        <v>539</v>
      </c>
      <c r="B60" t="s">
        <v>456</v>
      </c>
      <c r="C60" s="1">
        <v>42197</v>
      </c>
      <c r="D60" s="1">
        <v>42320</v>
      </c>
      <c r="E60">
        <v>123</v>
      </c>
      <c r="F60" t="s">
        <v>457</v>
      </c>
      <c r="G60" t="s">
        <v>458</v>
      </c>
      <c r="H60" t="s">
        <v>29</v>
      </c>
      <c r="I60" t="s">
        <v>44</v>
      </c>
      <c r="J60" t="s">
        <v>31</v>
      </c>
      <c r="K60" t="s">
        <v>32</v>
      </c>
      <c r="L60" t="s">
        <v>33</v>
      </c>
      <c r="M60" t="s">
        <v>34</v>
      </c>
      <c r="N60" t="s">
        <v>35</v>
      </c>
      <c r="O60" t="s">
        <v>459</v>
      </c>
      <c r="P60" t="s">
        <v>50</v>
      </c>
      <c r="Q60" t="s">
        <v>138</v>
      </c>
      <c r="R60" t="s">
        <v>460</v>
      </c>
      <c r="S60">
        <v>152.94</v>
      </c>
      <c r="T60">
        <v>41.293799999999997</v>
      </c>
      <c r="U60">
        <v>0.26999999999999996</v>
      </c>
      <c r="V60">
        <v>3</v>
      </c>
      <c r="W60">
        <v>0</v>
      </c>
      <c r="X60">
        <v>2015</v>
      </c>
      <c r="Y60">
        <v>7</v>
      </c>
      <c r="Z60" t="s">
        <v>217</v>
      </c>
    </row>
    <row r="61" spans="1:26" x14ac:dyDescent="0.35">
      <c r="A61">
        <v>541</v>
      </c>
      <c r="B61" t="s">
        <v>461</v>
      </c>
      <c r="C61" s="1">
        <v>41641</v>
      </c>
      <c r="D61" s="1">
        <v>41700</v>
      </c>
      <c r="E61">
        <v>59</v>
      </c>
      <c r="F61" t="s">
        <v>462</v>
      </c>
      <c r="G61" t="s">
        <v>463</v>
      </c>
      <c r="H61" t="s">
        <v>29</v>
      </c>
      <c r="I61" t="s">
        <v>58</v>
      </c>
      <c r="J61" t="s">
        <v>31</v>
      </c>
      <c r="K61" t="s">
        <v>197</v>
      </c>
      <c r="L61" t="s">
        <v>464</v>
      </c>
      <c r="M61" t="s">
        <v>61</v>
      </c>
      <c r="N61" t="s">
        <v>465</v>
      </c>
      <c r="O61" t="s">
        <v>466</v>
      </c>
      <c r="P61" t="s">
        <v>64</v>
      </c>
      <c r="Q61" t="s">
        <v>288</v>
      </c>
      <c r="R61" t="s">
        <v>467</v>
      </c>
      <c r="S61">
        <v>468.9</v>
      </c>
      <c r="T61">
        <v>206.316</v>
      </c>
      <c r="U61">
        <v>0.44</v>
      </c>
      <c r="V61">
        <v>6</v>
      </c>
      <c r="W61">
        <v>0</v>
      </c>
      <c r="X61">
        <v>2014</v>
      </c>
      <c r="Y61">
        <v>1</v>
      </c>
      <c r="Z61" t="s">
        <v>147</v>
      </c>
    </row>
    <row r="62" spans="1:26" x14ac:dyDescent="0.35">
      <c r="A62">
        <v>553</v>
      </c>
      <c r="B62" t="s">
        <v>468</v>
      </c>
      <c r="C62" s="1">
        <v>43048</v>
      </c>
      <c r="D62" s="1">
        <v>43078</v>
      </c>
      <c r="E62">
        <v>30</v>
      </c>
      <c r="F62" t="s">
        <v>469</v>
      </c>
      <c r="G62" t="s">
        <v>470</v>
      </c>
      <c r="H62" t="s">
        <v>29</v>
      </c>
      <c r="I62" t="s">
        <v>58</v>
      </c>
      <c r="J62" t="s">
        <v>31</v>
      </c>
      <c r="K62" t="s">
        <v>272</v>
      </c>
      <c r="L62" t="s">
        <v>471</v>
      </c>
      <c r="M62" t="s">
        <v>34</v>
      </c>
      <c r="N62" t="s">
        <v>472</v>
      </c>
      <c r="O62" t="s">
        <v>473</v>
      </c>
      <c r="P62" t="s">
        <v>37</v>
      </c>
      <c r="Q62" t="s">
        <v>129</v>
      </c>
      <c r="R62" t="s">
        <v>474</v>
      </c>
      <c r="S62">
        <v>34.503999999999998</v>
      </c>
      <c r="T62">
        <v>6.0381999999999998</v>
      </c>
      <c r="U62">
        <v>0.17500000000000002</v>
      </c>
      <c r="V62">
        <v>1</v>
      </c>
      <c r="W62">
        <v>0.2</v>
      </c>
      <c r="X62">
        <v>2017</v>
      </c>
      <c r="Y62">
        <v>11</v>
      </c>
      <c r="Z62" t="s">
        <v>210</v>
      </c>
    </row>
    <row r="63" spans="1:26" x14ac:dyDescent="0.35">
      <c r="A63">
        <v>556</v>
      </c>
      <c r="B63" t="s">
        <v>475</v>
      </c>
      <c r="C63" s="1">
        <v>41701</v>
      </c>
      <c r="D63" s="1">
        <v>41823</v>
      </c>
      <c r="E63">
        <v>122</v>
      </c>
      <c r="F63" t="s">
        <v>476</v>
      </c>
      <c r="G63" t="s">
        <v>477</v>
      </c>
      <c r="H63" t="s">
        <v>29</v>
      </c>
      <c r="I63" t="s">
        <v>30</v>
      </c>
      <c r="J63" t="s">
        <v>31</v>
      </c>
      <c r="K63" t="s">
        <v>97</v>
      </c>
      <c r="L63" t="s">
        <v>478</v>
      </c>
      <c r="M63" t="s">
        <v>34</v>
      </c>
      <c r="N63" t="s">
        <v>479</v>
      </c>
      <c r="O63" t="s">
        <v>480</v>
      </c>
      <c r="P63" t="s">
        <v>50</v>
      </c>
      <c r="Q63" t="s">
        <v>74</v>
      </c>
      <c r="R63" t="s">
        <v>481</v>
      </c>
      <c r="S63">
        <v>19.456</v>
      </c>
      <c r="T63">
        <v>3.4047999999999998</v>
      </c>
      <c r="U63">
        <v>0.17499999999999999</v>
      </c>
      <c r="V63">
        <v>4</v>
      </c>
      <c r="W63">
        <v>0.2</v>
      </c>
      <c r="X63">
        <v>2014</v>
      </c>
      <c r="Y63">
        <v>3</v>
      </c>
      <c r="Z63" t="s">
        <v>103</v>
      </c>
    </row>
    <row r="64" spans="1:26" x14ac:dyDescent="0.35">
      <c r="A64">
        <v>564</v>
      </c>
      <c r="B64" t="s">
        <v>482</v>
      </c>
      <c r="C64" s="1">
        <v>42197</v>
      </c>
      <c r="D64" s="1">
        <v>42259</v>
      </c>
      <c r="E64">
        <v>62</v>
      </c>
      <c r="F64" t="s">
        <v>483</v>
      </c>
      <c r="G64" t="s">
        <v>484</v>
      </c>
      <c r="H64" t="s">
        <v>29</v>
      </c>
      <c r="I64" t="s">
        <v>58</v>
      </c>
      <c r="J64" t="s">
        <v>31</v>
      </c>
      <c r="K64" t="s">
        <v>45</v>
      </c>
      <c r="L64" t="s">
        <v>46</v>
      </c>
      <c r="M64" t="s">
        <v>47</v>
      </c>
      <c r="N64" t="s">
        <v>378</v>
      </c>
      <c r="O64" t="s">
        <v>485</v>
      </c>
      <c r="P64" t="s">
        <v>50</v>
      </c>
      <c r="Q64" t="s">
        <v>486</v>
      </c>
      <c r="R64" t="s">
        <v>487</v>
      </c>
      <c r="S64">
        <v>3.96</v>
      </c>
      <c r="T64">
        <v>0</v>
      </c>
      <c r="U64">
        <v>0</v>
      </c>
      <c r="V64">
        <v>2</v>
      </c>
      <c r="W64">
        <v>0</v>
      </c>
      <c r="X64">
        <v>2015</v>
      </c>
      <c r="Y64">
        <v>7</v>
      </c>
      <c r="Z64" t="s">
        <v>217</v>
      </c>
    </row>
    <row r="65" spans="1:26" x14ac:dyDescent="0.35">
      <c r="A65">
        <v>566</v>
      </c>
      <c r="B65" t="s">
        <v>488</v>
      </c>
      <c r="C65" s="1">
        <v>42928</v>
      </c>
      <c r="D65" s="1">
        <v>43020</v>
      </c>
      <c r="E65">
        <v>92</v>
      </c>
      <c r="F65" t="s">
        <v>489</v>
      </c>
      <c r="G65" t="s">
        <v>490</v>
      </c>
      <c r="H65" t="s">
        <v>29</v>
      </c>
      <c r="I65" t="s">
        <v>58</v>
      </c>
      <c r="J65" t="s">
        <v>31</v>
      </c>
      <c r="K65" t="s">
        <v>205</v>
      </c>
      <c r="L65" t="s">
        <v>206</v>
      </c>
      <c r="M65" t="s">
        <v>47</v>
      </c>
      <c r="N65" t="s">
        <v>491</v>
      </c>
      <c r="O65" t="s">
        <v>492</v>
      </c>
      <c r="P65" t="s">
        <v>64</v>
      </c>
      <c r="Q65" t="s">
        <v>65</v>
      </c>
      <c r="R65" t="s">
        <v>493</v>
      </c>
      <c r="S65">
        <v>374.37599999999998</v>
      </c>
      <c r="T65">
        <v>46.796999999999997</v>
      </c>
      <c r="U65">
        <v>0.125</v>
      </c>
      <c r="V65">
        <v>3</v>
      </c>
      <c r="W65">
        <v>0.2</v>
      </c>
      <c r="X65">
        <v>2017</v>
      </c>
      <c r="Y65">
        <v>7</v>
      </c>
      <c r="Z65" t="s">
        <v>217</v>
      </c>
    </row>
    <row r="66" spans="1:26" x14ac:dyDescent="0.35">
      <c r="A66">
        <v>567</v>
      </c>
      <c r="B66" t="s">
        <v>494</v>
      </c>
      <c r="C66" s="1">
        <v>42745</v>
      </c>
      <c r="D66" s="1">
        <v>42957</v>
      </c>
      <c r="E66">
        <v>212</v>
      </c>
      <c r="F66" t="s">
        <v>495</v>
      </c>
      <c r="G66" t="s">
        <v>496</v>
      </c>
      <c r="H66" t="s">
        <v>57</v>
      </c>
      <c r="I66" t="s">
        <v>44</v>
      </c>
      <c r="J66" t="s">
        <v>31</v>
      </c>
      <c r="K66" t="s">
        <v>45</v>
      </c>
      <c r="L66" t="s">
        <v>46</v>
      </c>
      <c r="M66" t="s">
        <v>47</v>
      </c>
      <c r="N66" t="s">
        <v>378</v>
      </c>
      <c r="O66" t="s">
        <v>497</v>
      </c>
      <c r="P66" t="s">
        <v>50</v>
      </c>
      <c r="Q66" t="s">
        <v>83</v>
      </c>
      <c r="R66" t="s">
        <v>498</v>
      </c>
      <c r="S66">
        <v>91.84</v>
      </c>
      <c r="T66">
        <v>45.001600000000003</v>
      </c>
      <c r="U66">
        <v>0.49</v>
      </c>
      <c r="V66">
        <v>8</v>
      </c>
      <c r="W66">
        <v>0</v>
      </c>
      <c r="X66">
        <v>2017</v>
      </c>
      <c r="Y66">
        <v>1</v>
      </c>
      <c r="Z66" t="s">
        <v>147</v>
      </c>
    </row>
    <row r="67" spans="1:26" x14ac:dyDescent="0.35">
      <c r="A67">
        <v>575</v>
      </c>
      <c r="B67" t="s">
        <v>499</v>
      </c>
      <c r="C67" s="1">
        <v>42440</v>
      </c>
      <c r="D67" s="1">
        <v>42562</v>
      </c>
      <c r="E67">
        <v>122</v>
      </c>
      <c r="F67" t="s">
        <v>500</v>
      </c>
      <c r="G67" t="s">
        <v>501</v>
      </c>
      <c r="H67" t="s">
        <v>29</v>
      </c>
      <c r="I67" t="s">
        <v>44</v>
      </c>
      <c r="J67" t="s">
        <v>31</v>
      </c>
      <c r="K67" t="s">
        <v>45</v>
      </c>
      <c r="L67" t="s">
        <v>502</v>
      </c>
      <c r="M67" t="s">
        <v>47</v>
      </c>
      <c r="N67" t="s">
        <v>503</v>
      </c>
      <c r="O67" t="s">
        <v>504</v>
      </c>
      <c r="P67" t="s">
        <v>50</v>
      </c>
      <c r="Q67" t="s">
        <v>74</v>
      </c>
      <c r="R67" t="s">
        <v>505</v>
      </c>
      <c r="S67">
        <v>8.82</v>
      </c>
      <c r="T67">
        <v>2.3814000000000002</v>
      </c>
      <c r="U67">
        <v>0.27</v>
      </c>
      <c r="V67">
        <v>3</v>
      </c>
      <c r="W67">
        <v>0</v>
      </c>
      <c r="X67">
        <v>2016</v>
      </c>
      <c r="Y67">
        <v>3</v>
      </c>
      <c r="Z67" t="s">
        <v>103</v>
      </c>
    </row>
    <row r="68" spans="1:26" x14ac:dyDescent="0.35">
      <c r="A68">
        <v>587</v>
      </c>
      <c r="B68" t="s">
        <v>506</v>
      </c>
      <c r="C68" s="1">
        <v>42070</v>
      </c>
      <c r="D68" s="1">
        <v>42254</v>
      </c>
      <c r="E68">
        <v>184</v>
      </c>
      <c r="F68" t="s">
        <v>507</v>
      </c>
      <c r="G68" t="s">
        <v>508</v>
      </c>
      <c r="H68" t="s">
        <v>29</v>
      </c>
      <c r="I68" t="s">
        <v>44</v>
      </c>
      <c r="J68" t="s">
        <v>31</v>
      </c>
      <c r="K68" t="s">
        <v>32</v>
      </c>
      <c r="L68" t="s">
        <v>382</v>
      </c>
      <c r="M68" t="s">
        <v>34</v>
      </c>
      <c r="N68" t="s">
        <v>383</v>
      </c>
      <c r="O68" t="s">
        <v>509</v>
      </c>
      <c r="P68" t="s">
        <v>37</v>
      </c>
      <c r="Q68" t="s">
        <v>320</v>
      </c>
      <c r="R68" t="s">
        <v>510</v>
      </c>
      <c r="S68">
        <v>70.98</v>
      </c>
      <c r="T68">
        <v>4.9686000000000003</v>
      </c>
      <c r="U68">
        <v>7.0000000000000007E-2</v>
      </c>
      <c r="V68">
        <v>1</v>
      </c>
      <c r="W68">
        <v>0</v>
      </c>
      <c r="X68">
        <v>2015</v>
      </c>
      <c r="Y68">
        <v>3</v>
      </c>
      <c r="Z68" t="s">
        <v>103</v>
      </c>
    </row>
    <row r="69" spans="1:26" x14ac:dyDescent="0.35">
      <c r="A69">
        <v>636</v>
      </c>
      <c r="B69" t="s">
        <v>511</v>
      </c>
      <c r="C69" s="1">
        <v>42104</v>
      </c>
      <c r="D69" s="1">
        <v>42257</v>
      </c>
      <c r="E69">
        <v>153</v>
      </c>
      <c r="F69" t="s">
        <v>512</v>
      </c>
      <c r="G69" t="s">
        <v>513</v>
      </c>
      <c r="H69" t="s">
        <v>57</v>
      </c>
      <c r="I69" t="s">
        <v>30</v>
      </c>
      <c r="J69" t="s">
        <v>31</v>
      </c>
      <c r="K69" t="s">
        <v>345</v>
      </c>
      <c r="L69" t="s">
        <v>514</v>
      </c>
      <c r="M69" t="s">
        <v>34</v>
      </c>
      <c r="N69" t="s">
        <v>515</v>
      </c>
      <c r="O69" t="s">
        <v>516</v>
      </c>
      <c r="P69" t="s">
        <v>37</v>
      </c>
      <c r="Q69" t="s">
        <v>320</v>
      </c>
      <c r="R69" t="s">
        <v>517</v>
      </c>
      <c r="S69">
        <v>392.94</v>
      </c>
      <c r="T69">
        <v>43.223399999999998</v>
      </c>
      <c r="U69">
        <v>0.11</v>
      </c>
      <c r="V69">
        <v>3</v>
      </c>
      <c r="W69">
        <v>0</v>
      </c>
      <c r="X69">
        <v>2015</v>
      </c>
      <c r="Y69">
        <v>4</v>
      </c>
      <c r="Z69" t="s">
        <v>85</v>
      </c>
    </row>
    <row r="70" spans="1:26" x14ac:dyDescent="0.35">
      <c r="A70">
        <v>647</v>
      </c>
      <c r="B70" t="s">
        <v>518</v>
      </c>
      <c r="C70" s="1">
        <v>42373</v>
      </c>
      <c r="D70" s="1">
        <v>42586</v>
      </c>
      <c r="E70">
        <v>213</v>
      </c>
      <c r="F70" t="s">
        <v>519</v>
      </c>
      <c r="G70" t="s">
        <v>520</v>
      </c>
      <c r="H70" t="s">
        <v>57</v>
      </c>
      <c r="I70" t="s">
        <v>44</v>
      </c>
      <c r="J70" t="s">
        <v>31</v>
      </c>
      <c r="K70" t="s">
        <v>70</v>
      </c>
      <c r="L70" t="s">
        <v>521</v>
      </c>
      <c r="M70" t="s">
        <v>47</v>
      </c>
      <c r="N70" t="s">
        <v>522</v>
      </c>
      <c r="O70" t="s">
        <v>523</v>
      </c>
      <c r="P70" t="s">
        <v>50</v>
      </c>
      <c r="Q70" t="s">
        <v>486</v>
      </c>
      <c r="R70" t="s">
        <v>524</v>
      </c>
      <c r="S70">
        <v>31.56</v>
      </c>
      <c r="T70">
        <v>9.8625000000000007</v>
      </c>
      <c r="U70">
        <v>0.31250000000000006</v>
      </c>
      <c r="V70">
        <v>5</v>
      </c>
      <c r="W70">
        <v>0.2</v>
      </c>
      <c r="X70">
        <v>2016</v>
      </c>
      <c r="Y70">
        <v>1</v>
      </c>
      <c r="Z70" t="s">
        <v>147</v>
      </c>
    </row>
    <row r="71" spans="1:26" x14ac:dyDescent="0.35">
      <c r="A71">
        <v>666</v>
      </c>
      <c r="B71" t="s">
        <v>525</v>
      </c>
      <c r="C71" s="1">
        <v>42953</v>
      </c>
      <c r="D71" s="1">
        <v>43014</v>
      </c>
      <c r="E71">
        <v>61</v>
      </c>
      <c r="F71" t="s">
        <v>526</v>
      </c>
      <c r="G71" t="s">
        <v>527</v>
      </c>
      <c r="H71" t="s">
        <v>57</v>
      </c>
      <c r="I71" t="s">
        <v>30</v>
      </c>
      <c r="J71" t="s">
        <v>31</v>
      </c>
      <c r="K71" t="s">
        <v>59</v>
      </c>
      <c r="L71" t="s">
        <v>528</v>
      </c>
      <c r="M71" t="s">
        <v>61</v>
      </c>
      <c r="N71" t="s">
        <v>529</v>
      </c>
      <c r="O71" t="s">
        <v>530</v>
      </c>
      <c r="P71" t="s">
        <v>50</v>
      </c>
      <c r="Q71" t="s">
        <v>531</v>
      </c>
      <c r="R71" t="s">
        <v>532</v>
      </c>
      <c r="S71">
        <v>23.76</v>
      </c>
      <c r="T71">
        <v>2.0790000000000002</v>
      </c>
      <c r="U71">
        <v>8.7500000000000008E-2</v>
      </c>
      <c r="V71">
        <v>3</v>
      </c>
      <c r="W71">
        <v>0.2</v>
      </c>
      <c r="X71">
        <v>2017</v>
      </c>
      <c r="Y71">
        <v>8</v>
      </c>
      <c r="Z71" t="s">
        <v>40</v>
      </c>
    </row>
    <row r="72" spans="1:26" x14ac:dyDescent="0.35">
      <c r="A72">
        <v>674</v>
      </c>
      <c r="B72" t="s">
        <v>533</v>
      </c>
      <c r="C72" s="1">
        <v>42867</v>
      </c>
      <c r="D72" s="1">
        <v>42959</v>
      </c>
      <c r="E72">
        <v>92</v>
      </c>
      <c r="F72" t="s">
        <v>534</v>
      </c>
      <c r="G72" t="s">
        <v>535</v>
      </c>
      <c r="H72" t="s">
        <v>29</v>
      </c>
      <c r="I72" t="s">
        <v>58</v>
      </c>
      <c r="J72" t="s">
        <v>31</v>
      </c>
      <c r="K72" t="s">
        <v>536</v>
      </c>
      <c r="L72" t="s">
        <v>182</v>
      </c>
      <c r="M72" t="s">
        <v>61</v>
      </c>
      <c r="N72" t="s">
        <v>537</v>
      </c>
      <c r="O72" t="s">
        <v>538</v>
      </c>
      <c r="P72" t="s">
        <v>50</v>
      </c>
      <c r="Q72" t="s">
        <v>138</v>
      </c>
      <c r="R72" t="s">
        <v>539</v>
      </c>
      <c r="S72">
        <v>61.44</v>
      </c>
      <c r="T72">
        <v>16.588799999999999</v>
      </c>
      <c r="U72">
        <v>0.27</v>
      </c>
      <c r="V72">
        <v>3</v>
      </c>
      <c r="W72">
        <v>0</v>
      </c>
      <c r="X72">
        <v>2017</v>
      </c>
      <c r="Y72">
        <v>5</v>
      </c>
      <c r="Z72" t="s">
        <v>53</v>
      </c>
    </row>
    <row r="73" spans="1:26" x14ac:dyDescent="0.35">
      <c r="A73">
        <v>684</v>
      </c>
      <c r="B73" t="s">
        <v>540</v>
      </c>
      <c r="C73" s="1">
        <v>42836</v>
      </c>
      <c r="D73" s="1">
        <v>42836</v>
      </c>
      <c r="E73">
        <v>0</v>
      </c>
      <c r="F73" t="s">
        <v>541</v>
      </c>
      <c r="G73" t="s">
        <v>542</v>
      </c>
      <c r="H73" t="s">
        <v>57</v>
      </c>
      <c r="I73" t="s">
        <v>543</v>
      </c>
      <c r="J73" t="s">
        <v>31</v>
      </c>
      <c r="K73" t="s">
        <v>97</v>
      </c>
      <c r="L73" t="s">
        <v>544</v>
      </c>
      <c r="M73" t="s">
        <v>34</v>
      </c>
      <c r="N73" t="s">
        <v>545</v>
      </c>
      <c r="O73" t="s">
        <v>546</v>
      </c>
      <c r="P73" t="s">
        <v>64</v>
      </c>
      <c r="Q73" t="s">
        <v>353</v>
      </c>
      <c r="R73" t="s">
        <v>547</v>
      </c>
      <c r="S73">
        <v>7999.98</v>
      </c>
      <c r="T73">
        <v>-3839.9904000000001</v>
      </c>
      <c r="U73">
        <v>-0.48000000000000004</v>
      </c>
      <c r="V73">
        <v>4</v>
      </c>
      <c r="W73">
        <v>0.5</v>
      </c>
      <c r="X73">
        <v>2017</v>
      </c>
      <c r="Y73">
        <v>4</v>
      </c>
      <c r="Z73" t="s">
        <v>85</v>
      </c>
    </row>
    <row r="74" spans="1:26" x14ac:dyDescent="0.35">
      <c r="A74">
        <v>686</v>
      </c>
      <c r="B74" t="s">
        <v>548</v>
      </c>
      <c r="C74" s="1">
        <v>41766</v>
      </c>
      <c r="D74" s="1">
        <v>41858</v>
      </c>
      <c r="E74">
        <v>92</v>
      </c>
      <c r="F74" t="s">
        <v>549</v>
      </c>
      <c r="G74" t="s">
        <v>550</v>
      </c>
      <c r="H74" t="s">
        <v>29</v>
      </c>
      <c r="I74" t="s">
        <v>58</v>
      </c>
      <c r="J74" t="s">
        <v>31</v>
      </c>
      <c r="K74" t="s">
        <v>551</v>
      </c>
      <c r="L74" t="s">
        <v>552</v>
      </c>
      <c r="M74" t="s">
        <v>34</v>
      </c>
      <c r="N74" t="s">
        <v>553</v>
      </c>
      <c r="O74" t="s">
        <v>554</v>
      </c>
      <c r="P74" t="s">
        <v>64</v>
      </c>
      <c r="Q74" t="s">
        <v>288</v>
      </c>
      <c r="R74" t="s">
        <v>555</v>
      </c>
      <c r="S74">
        <v>479.97</v>
      </c>
      <c r="T74">
        <v>163.18979999999999</v>
      </c>
      <c r="U74">
        <v>0.33999999999999997</v>
      </c>
      <c r="V74">
        <v>3</v>
      </c>
      <c r="W74">
        <v>0</v>
      </c>
      <c r="X74">
        <v>2014</v>
      </c>
      <c r="Y74">
        <v>5</v>
      </c>
      <c r="Z74" t="s">
        <v>53</v>
      </c>
    </row>
    <row r="75" spans="1:26" x14ac:dyDescent="0.35">
      <c r="A75">
        <v>703</v>
      </c>
      <c r="B75" t="s">
        <v>556</v>
      </c>
      <c r="C75" s="1">
        <v>42471</v>
      </c>
      <c r="D75" s="1">
        <v>42593</v>
      </c>
      <c r="E75">
        <v>122</v>
      </c>
      <c r="F75" t="s">
        <v>557</v>
      </c>
      <c r="G75" t="s">
        <v>558</v>
      </c>
      <c r="H75" t="s">
        <v>57</v>
      </c>
      <c r="I75" t="s">
        <v>30</v>
      </c>
      <c r="J75" t="s">
        <v>31</v>
      </c>
      <c r="K75" t="s">
        <v>45</v>
      </c>
      <c r="L75" t="s">
        <v>46</v>
      </c>
      <c r="M75" t="s">
        <v>47</v>
      </c>
      <c r="N75" t="s">
        <v>48</v>
      </c>
      <c r="O75" t="s">
        <v>559</v>
      </c>
      <c r="P75" t="s">
        <v>37</v>
      </c>
      <c r="Q75" t="s">
        <v>129</v>
      </c>
      <c r="R75" t="s">
        <v>560</v>
      </c>
      <c r="S75">
        <v>209.88</v>
      </c>
      <c r="T75">
        <v>35.679600000000001</v>
      </c>
      <c r="U75">
        <v>0.17</v>
      </c>
      <c r="V75">
        <v>3</v>
      </c>
      <c r="W75">
        <v>0</v>
      </c>
      <c r="X75">
        <v>2016</v>
      </c>
      <c r="Y75">
        <v>4</v>
      </c>
      <c r="Z75" t="s">
        <v>85</v>
      </c>
    </row>
    <row r="76" spans="1:26" x14ac:dyDescent="0.35">
      <c r="A76">
        <v>712</v>
      </c>
      <c r="B76" t="s">
        <v>561</v>
      </c>
      <c r="C76" s="1">
        <v>42803</v>
      </c>
      <c r="D76" s="1">
        <v>42925</v>
      </c>
      <c r="E76">
        <v>122</v>
      </c>
      <c r="F76" t="s">
        <v>562</v>
      </c>
      <c r="G76" t="s">
        <v>563</v>
      </c>
      <c r="H76" t="s">
        <v>29</v>
      </c>
      <c r="I76" t="s">
        <v>44</v>
      </c>
      <c r="J76" t="s">
        <v>31</v>
      </c>
      <c r="K76" t="s">
        <v>272</v>
      </c>
      <c r="L76" t="s">
        <v>564</v>
      </c>
      <c r="M76" t="s">
        <v>34</v>
      </c>
      <c r="N76" t="s">
        <v>565</v>
      </c>
      <c r="O76" t="s">
        <v>566</v>
      </c>
      <c r="P76" t="s">
        <v>50</v>
      </c>
      <c r="Q76" t="s">
        <v>101</v>
      </c>
      <c r="R76" t="s">
        <v>567</v>
      </c>
      <c r="S76">
        <v>24.448</v>
      </c>
      <c r="T76">
        <v>8.8623999999999992</v>
      </c>
      <c r="U76">
        <v>0.36249999999999993</v>
      </c>
      <c r="V76">
        <v>4</v>
      </c>
      <c r="W76">
        <v>0.2</v>
      </c>
      <c r="X76">
        <v>2017</v>
      </c>
      <c r="Y76">
        <v>3</v>
      </c>
      <c r="Z76" t="s">
        <v>103</v>
      </c>
    </row>
    <row r="77" spans="1:26" x14ac:dyDescent="0.35">
      <c r="A77">
        <v>716</v>
      </c>
      <c r="B77" t="s">
        <v>568</v>
      </c>
      <c r="C77" s="1">
        <v>41646</v>
      </c>
      <c r="D77" s="1">
        <v>41797</v>
      </c>
      <c r="E77">
        <v>151</v>
      </c>
      <c r="F77" t="s">
        <v>291</v>
      </c>
      <c r="G77" t="s">
        <v>292</v>
      </c>
      <c r="H77" t="s">
        <v>57</v>
      </c>
      <c r="I77" t="s">
        <v>30</v>
      </c>
      <c r="J77" t="s">
        <v>31</v>
      </c>
      <c r="K77" t="s">
        <v>45</v>
      </c>
      <c r="L77" t="s">
        <v>46</v>
      </c>
      <c r="M77" t="s">
        <v>47</v>
      </c>
      <c r="N77" t="s">
        <v>378</v>
      </c>
      <c r="O77" t="s">
        <v>569</v>
      </c>
      <c r="P77" t="s">
        <v>50</v>
      </c>
      <c r="Q77" t="s">
        <v>51</v>
      </c>
      <c r="R77" t="s">
        <v>570</v>
      </c>
      <c r="S77">
        <v>19.920000000000002</v>
      </c>
      <c r="T77">
        <v>6.9720000000000004</v>
      </c>
      <c r="U77">
        <v>0.35</v>
      </c>
      <c r="V77">
        <v>5</v>
      </c>
      <c r="W77">
        <v>0.2</v>
      </c>
      <c r="X77">
        <v>2014</v>
      </c>
      <c r="Y77">
        <v>1</v>
      </c>
      <c r="Z77" t="s">
        <v>147</v>
      </c>
    </row>
    <row r="78" spans="1:26" x14ac:dyDescent="0.35">
      <c r="A78">
        <v>719</v>
      </c>
      <c r="B78" t="s">
        <v>571</v>
      </c>
      <c r="C78" s="1">
        <v>41676</v>
      </c>
      <c r="D78" s="1">
        <v>41826</v>
      </c>
      <c r="E78">
        <v>150</v>
      </c>
      <c r="F78" t="s">
        <v>572</v>
      </c>
      <c r="G78" t="s">
        <v>573</v>
      </c>
      <c r="H78" t="s">
        <v>107</v>
      </c>
      <c r="I78" t="s">
        <v>44</v>
      </c>
      <c r="J78" t="s">
        <v>31</v>
      </c>
      <c r="K78" t="s">
        <v>574</v>
      </c>
      <c r="L78" t="s">
        <v>575</v>
      </c>
      <c r="M78" t="s">
        <v>47</v>
      </c>
      <c r="N78" t="s">
        <v>576</v>
      </c>
      <c r="O78" t="s">
        <v>577</v>
      </c>
      <c r="P78" t="s">
        <v>50</v>
      </c>
      <c r="Q78" t="s">
        <v>51</v>
      </c>
      <c r="R78" t="s">
        <v>578</v>
      </c>
      <c r="S78">
        <v>59.808</v>
      </c>
      <c r="T78">
        <v>19.4376</v>
      </c>
      <c r="U78">
        <v>0.32500000000000001</v>
      </c>
      <c r="V78">
        <v>3</v>
      </c>
      <c r="W78">
        <v>0.2</v>
      </c>
      <c r="X78">
        <v>2014</v>
      </c>
      <c r="Y78">
        <v>2</v>
      </c>
      <c r="Z78" t="s">
        <v>162</v>
      </c>
    </row>
    <row r="79" spans="1:26" x14ac:dyDescent="0.35">
      <c r="A79">
        <v>725</v>
      </c>
      <c r="B79" t="s">
        <v>579</v>
      </c>
      <c r="C79" s="1">
        <v>42558</v>
      </c>
      <c r="D79" s="1">
        <v>42711</v>
      </c>
      <c r="E79">
        <v>153</v>
      </c>
      <c r="F79" t="s">
        <v>580</v>
      </c>
      <c r="G79" t="s">
        <v>581</v>
      </c>
      <c r="H79" t="s">
        <v>57</v>
      </c>
      <c r="I79" t="s">
        <v>44</v>
      </c>
      <c r="J79" t="s">
        <v>31</v>
      </c>
      <c r="K79" t="s">
        <v>272</v>
      </c>
      <c r="L79" t="s">
        <v>582</v>
      </c>
      <c r="M79" t="s">
        <v>34</v>
      </c>
      <c r="N79" t="s">
        <v>583</v>
      </c>
      <c r="O79" t="s">
        <v>584</v>
      </c>
      <c r="P79" t="s">
        <v>50</v>
      </c>
      <c r="Q79" t="s">
        <v>531</v>
      </c>
      <c r="R79" t="s">
        <v>585</v>
      </c>
      <c r="S79">
        <v>45.584000000000003</v>
      </c>
      <c r="T79">
        <v>5.1281999999999996</v>
      </c>
      <c r="U79">
        <v>0.11249999999999999</v>
      </c>
      <c r="V79">
        <v>7</v>
      </c>
      <c r="W79">
        <v>0.2</v>
      </c>
      <c r="X79">
        <v>2016</v>
      </c>
      <c r="Y79">
        <v>7</v>
      </c>
      <c r="Z79" t="s">
        <v>217</v>
      </c>
    </row>
    <row r="80" spans="1:26" x14ac:dyDescent="0.35">
      <c r="A80">
        <v>728</v>
      </c>
      <c r="B80" t="s">
        <v>586</v>
      </c>
      <c r="C80" s="1">
        <v>42441</v>
      </c>
      <c r="D80" s="1">
        <v>42533</v>
      </c>
      <c r="E80">
        <v>92</v>
      </c>
      <c r="F80" t="s">
        <v>587</v>
      </c>
      <c r="G80" t="s">
        <v>588</v>
      </c>
      <c r="H80" t="s">
        <v>29</v>
      </c>
      <c r="I80" t="s">
        <v>58</v>
      </c>
      <c r="J80" t="s">
        <v>31</v>
      </c>
      <c r="K80" t="s">
        <v>124</v>
      </c>
      <c r="L80" t="s">
        <v>589</v>
      </c>
      <c r="M80" t="s">
        <v>126</v>
      </c>
      <c r="N80" t="s">
        <v>590</v>
      </c>
      <c r="O80" t="s">
        <v>591</v>
      </c>
      <c r="P80" t="s">
        <v>50</v>
      </c>
      <c r="Q80" t="s">
        <v>83</v>
      </c>
      <c r="R80" t="s">
        <v>592</v>
      </c>
      <c r="S80">
        <v>182.72</v>
      </c>
      <c r="T80">
        <v>84.051199999999994</v>
      </c>
      <c r="U80">
        <v>0.45999999999999996</v>
      </c>
      <c r="V80">
        <v>8</v>
      </c>
      <c r="W80">
        <v>0</v>
      </c>
      <c r="X80">
        <v>2016</v>
      </c>
      <c r="Y80">
        <v>3</v>
      </c>
      <c r="Z80" t="s">
        <v>103</v>
      </c>
    </row>
    <row r="81" spans="1:26" x14ac:dyDescent="0.35">
      <c r="A81">
        <v>739</v>
      </c>
      <c r="B81" t="s">
        <v>593</v>
      </c>
      <c r="C81" s="1">
        <v>41860</v>
      </c>
      <c r="D81" s="1">
        <v>41982</v>
      </c>
      <c r="E81">
        <v>122</v>
      </c>
      <c r="F81" t="s">
        <v>141</v>
      </c>
      <c r="G81" t="s">
        <v>142</v>
      </c>
      <c r="H81" t="s">
        <v>29</v>
      </c>
      <c r="I81" t="s">
        <v>44</v>
      </c>
      <c r="J81" t="s">
        <v>31</v>
      </c>
      <c r="K81" t="s">
        <v>205</v>
      </c>
      <c r="L81" t="s">
        <v>371</v>
      </c>
      <c r="M81" t="s">
        <v>47</v>
      </c>
      <c r="N81" t="s">
        <v>372</v>
      </c>
      <c r="O81" t="s">
        <v>594</v>
      </c>
      <c r="P81" t="s">
        <v>64</v>
      </c>
      <c r="Q81" t="s">
        <v>288</v>
      </c>
      <c r="R81" t="s">
        <v>595</v>
      </c>
      <c r="S81">
        <v>49.98</v>
      </c>
      <c r="T81">
        <v>8.4966000000000008</v>
      </c>
      <c r="U81">
        <v>0.17000000000000004</v>
      </c>
      <c r="V81">
        <v>2</v>
      </c>
      <c r="W81">
        <v>0</v>
      </c>
      <c r="X81">
        <v>2014</v>
      </c>
      <c r="Y81">
        <v>8</v>
      </c>
      <c r="Z81" t="s">
        <v>40</v>
      </c>
    </row>
    <row r="82" spans="1:26" x14ac:dyDescent="0.35">
      <c r="A82">
        <v>740</v>
      </c>
      <c r="B82" t="s">
        <v>596</v>
      </c>
      <c r="C82" s="1">
        <v>41730</v>
      </c>
      <c r="D82" s="1">
        <v>41852</v>
      </c>
      <c r="E82">
        <v>122</v>
      </c>
      <c r="F82" t="s">
        <v>597</v>
      </c>
      <c r="G82" t="s">
        <v>598</v>
      </c>
      <c r="H82" t="s">
        <v>107</v>
      </c>
      <c r="I82" t="s">
        <v>44</v>
      </c>
      <c r="J82" t="s">
        <v>31</v>
      </c>
      <c r="K82" t="s">
        <v>234</v>
      </c>
      <c r="L82" t="s">
        <v>599</v>
      </c>
      <c r="M82" t="s">
        <v>61</v>
      </c>
      <c r="N82" t="s">
        <v>600</v>
      </c>
      <c r="O82" t="s">
        <v>601</v>
      </c>
      <c r="P82" t="s">
        <v>50</v>
      </c>
      <c r="Q82" t="s">
        <v>267</v>
      </c>
      <c r="R82" t="s">
        <v>602</v>
      </c>
      <c r="S82">
        <v>11.784000000000001</v>
      </c>
      <c r="T82">
        <v>4.2717000000000001</v>
      </c>
      <c r="U82">
        <v>0.36249999999999999</v>
      </c>
      <c r="V82">
        <v>3</v>
      </c>
      <c r="W82">
        <v>0.2</v>
      </c>
      <c r="X82">
        <v>2014</v>
      </c>
      <c r="Y82">
        <v>4</v>
      </c>
      <c r="Z82" t="s">
        <v>85</v>
      </c>
    </row>
    <row r="83" spans="1:26" x14ac:dyDescent="0.35">
      <c r="A83">
        <v>750</v>
      </c>
      <c r="B83" t="s">
        <v>603</v>
      </c>
      <c r="C83" s="1">
        <v>42776</v>
      </c>
      <c r="D83" s="1">
        <v>42896</v>
      </c>
      <c r="E83">
        <v>120</v>
      </c>
      <c r="F83" t="s">
        <v>604</v>
      </c>
      <c r="G83" t="s">
        <v>605</v>
      </c>
      <c r="H83" t="s">
        <v>29</v>
      </c>
      <c r="I83" t="s">
        <v>44</v>
      </c>
      <c r="J83" t="s">
        <v>31</v>
      </c>
      <c r="K83" t="s">
        <v>256</v>
      </c>
      <c r="L83" t="s">
        <v>606</v>
      </c>
      <c r="M83" t="s">
        <v>61</v>
      </c>
      <c r="N83" t="s">
        <v>607</v>
      </c>
      <c r="O83" t="s">
        <v>608</v>
      </c>
      <c r="P83" t="s">
        <v>50</v>
      </c>
      <c r="Q83" t="s">
        <v>51</v>
      </c>
      <c r="R83" t="s">
        <v>609</v>
      </c>
      <c r="S83">
        <v>58.05</v>
      </c>
      <c r="T83">
        <v>26.702999999999999</v>
      </c>
      <c r="U83">
        <v>0.46</v>
      </c>
      <c r="V83">
        <v>3</v>
      </c>
      <c r="W83">
        <v>0</v>
      </c>
      <c r="X83">
        <v>2017</v>
      </c>
      <c r="Y83">
        <v>2</v>
      </c>
      <c r="Z83" t="s">
        <v>162</v>
      </c>
    </row>
    <row r="84" spans="1:26" x14ac:dyDescent="0.35">
      <c r="A84">
        <v>754</v>
      </c>
      <c r="B84" t="s">
        <v>610</v>
      </c>
      <c r="C84" s="1">
        <v>42555</v>
      </c>
      <c r="D84" s="1">
        <v>42617</v>
      </c>
      <c r="E84">
        <v>62</v>
      </c>
      <c r="F84" t="s">
        <v>611</v>
      </c>
      <c r="G84" t="s">
        <v>612</v>
      </c>
      <c r="H84" t="s">
        <v>57</v>
      </c>
      <c r="I84" t="s">
        <v>58</v>
      </c>
      <c r="J84" t="s">
        <v>31</v>
      </c>
      <c r="K84" t="s">
        <v>205</v>
      </c>
      <c r="L84" t="s">
        <v>371</v>
      </c>
      <c r="M84" t="s">
        <v>47</v>
      </c>
      <c r="N84" t="s">
        <v>372</v>
      </c>
      <c r="O84" t="s">
        <v>613</v>
      </c>
      <c r="P84" t="s">
        <v>64</v>
      </c>
      <c r="Q84" t="s">
        <v>614</v>
      </c>
      <c r="R84" t="s">
        <v>615</v>
      </c>
      <c r="S84">
        <v>1199.9760000000001</v>
      </c>
      <c r="T84">
        <v>374.99250000000001</v>
      </c>
      <c r="U84">
        <v>0.3125</v>
      </c>
      <c r="V84">
        <v>3</v>
      </c>
      <c r="W84">
        <v>0.2</v>
      </c>
      <c r="X84">
        <v>2016</v>
      </c>
      <c r="Y84">
        <v>7</v>
      </c>
      <c r="Z84" t="s">
        <v>217</v>
      </c>
    </row>
    <row r="85" spans="1:26" x14ac:dyDescent="0.35">
      <c r="A85">
        <v>762</v>
      </c>
      <c r="B85" t="s">
        <v>616</v>
      </c>
      <c r="C85" s="1">
        <v>42805</v>
      </c>
      <c r="D85" s="1">
        <v>42927</v>
      </c>
      <c r="E85">
        <v>122</v>
      </c>
      <c r="F85" t="s">
        <v>95</v>
      </c>
      <c r="G85" t="s">
        <v>96</v>
      </c>
      <c r="H85" t="s">
        <v>57</v>
      </c>
      <c r="I85" t="s">
        <v>44</v>
      </c>
      <c r="J85" t="s">
        <v>31</v>
      </c>
      <c r="K85" t="s">
        <v>345</v>
      </c>
      <c r="L85" t="s">
        <v>617</v>
      </c>
      <c r="M85" t="s">
        <v>34</v>
      </c>
      <c r="N85" t="s">
        <v>618</v>
      </c>
      <c r="O85" t="s">
        <v>619</v>
      </c>
      <c r="P85" t="s">
        <v>50</v>
      </c>
      <c r="Q85" t="s">
        <v>267</v>
      </c>
      <c r="R85" t="s">
        <v>620</v>
      </c>
      <c r="S85">
        <v>12.39</v>
      </c>
      <c r="T85">
        <v>5.6993999999999998</v>
      </c>
      <c r="U85">
        <v>0.45999999999999996</v>
      </c>
      <c r="V85">
        <v>3</v>
      </c>
      <c r="W85">
        <v>0</v>
      </c>
      <c r="X85">
        <v>2017</v>
      </c>
      <c r="Y85">
        <v>3</v>
      </c>
      <c r="Z85" t="s">
        <v>103</v>
      </c>
    </row>
    <row r="86" spans="1:26" x14ac:dyDescent="0.35">
      <c r="A86">
        <v>782</v>
      </c>
      <c r="B86" t="s">
        <v>621</v>
      </c>
      <c r="C86" s="1">
        <v>42073</v>
      </c>
      <c r="D86" s="1">
        <v>42165</v>
      </c>
      <c r="E86">
        <v>92</v>
      </c>
      <c r="F86" t="s">
        <v>622</v>
      </c>
      <c r="G86" t="s">
        <v>623</v>
      </c>
      <c r="H86" t="s">
        <v>29</v>
      </c>
      <c r="I86" t="s">
        <v>30</v>
      </c>
      <c r="J86" t="s">
        <v>31</v>
      </c>
      <c r="K86" t="s">
        <v>181</v>
      </c>
      <c r="L86" t="s">
        <v>182</v>
      </c>
      <c r="M86" t="s">
        <v>126</v>
      </c>
      <c r="N86" t="s">
        <v>183</v>
      </c>
      <c r="O86" t="s">
        <v>624</v>
      </c>
      <c r="P86" t="s">
        <v>50</v>
      </c>
      <c r="Q86" t="s">
        <v>51</v>
      </c>
      <c r="R86" t="s">
        <v>625</v>
      </c>
      <c r="S86">
        <v>32.07</v>
      </c>
      <c r="T86">
        <v>-22.449000000000002</v>
      </c>
      <c r="U86">
        <v>-0.70000000000000007</v>
      </c>
      <c r="V86">
        <v>5</v>
      </c>
      <c r="W86">
        <v>0.7</v>
      </c>
      <c r="X86">
        <v>2015</v>
      </c>
      <c r="Y86">
        <v>3</v>
      </c>
      <c r="Z86" t="s">
        <v>103</v>
      </c>
    </row>
    <row r="87" spans="1:26" x14ac:dyDescent="0.35">
      <c r="A87">
        <v>806</v>
      </c>
      <c r="B87" t="s">
        <v>626</v>
      </c>
      <c r="C87" s="1">
        <v>41650</v>
      </c>
      <c r="D87" s="1">
        <v>41831</v>
      </c>
      <c r="E87">
        <v>181</v>
      </c>
      <c r="F87" t="s">
        <v>627</v>
      </c>
      <c r="G87" t="s">
        <v>628</v>
      </c>
      <c r="H87" t="s">
        <v>29</v>
      </c>
      <c r="I87" t="s">
        <v>44</v>
      </c>
      <c r="J87" t="s">
        <v>31</v>
      </c>
      <c r="K87" t="s">
        <v>242</v>
      </c>
      <c r="L87" t="s">
        <v>243</v>
      </c>
      <c r="M87" t="s">
        <v>47</v>
      </c>
      <c r="N87" t="s">
        <v>244</v>
      </c>
      <c r="O87" t="s">
        <v>629</v>
      </c>
      <c r="P87" t="s">
        <v>50</v>
      </c>
      <c r="Q87" t="s">
        <v>74</v>
      </c>
      <c r="R87" t="s">
        <v>630</v>
      </c>
      <c r="S87">
        <v>43.176000000000002</v>
      </c>
      <c r="T87">
        <v>4.3175999999999997</v>
      </c>
      <c r="U87">
        <v>9.9999999999999992E-2</v>
      </c>
      <c r="V87">
        <v>3</v>
      </c>
      <c r="W87">
        <v>0.2</v>
      </c>
      <c r="X87">
        <v>2014</v>
      </c>
      <c r="Y87">
        <v>1</v>
      </c>
      <c r="Z87" t="s">
        <v>147</v>
      </c>
    </row>
    <row r="88" spans="1:26" x14ac:dyDescent="0.35">
      <c r="A88">
        <v>838</v>
      </c>
      <c r="B88" t="s">
        <v>631</v>
      </c>
      <c r="C88" s="1">
        <v>42836</v>
      </c>
      <c r="D88" s="1">
        <v>43050</v>
      </c>
      <c r="E88">
        <v>214</v>
      </c>
      <c r="F88" t="s">
        <v>632</v>
      </c>
      <c r="G88" t="s">
        <v>633</v>
      </c>
      <c r="H88" t="s">
        <v>107</v>
      </c>
      <c r="I88" t="s">
        <v>44</v>
      </c>
      <c r="J88" t="s">
        <v>31</v>
      </c>
      <c r="K88" t="s">
        <v>166</v>
      </c>
      <c r="L88" t="s">
        <v>634</v>
      </c>
      <c r="M88" t="s">
        <v>34</v>
      </c>
      <c r="N88" t="s">
        <v>635</v>
      </c>
      <c r="O88" t="s">
        <v>636</v>
      </c>
      <c r="P88" t="s">
        <v>50</v>
      </c>
      <c r="Q88" t="s">
        <v>83</v>
      </c>
      <c r="R88" t="s">
        <v>637</v>
      </c>
      <c r="S88">
        <v>9.6639999999999997</v>
      </c>
      <c r="T88">
        <v>3.2616000000000001</v>
      </c>
      <c r="U88">
        <v>0.33750000000000002</v>
      </c>
      <c r="V88">
        <v>2</v>
      </c>
      <c r="W88">
        <v>0.2</v>
      </c>
      <c r="X88">
        <v>2017</v>
      </c>
      <c r="Y88">
        <v>4</v>
      </c>
      <c r="Z88" t="s">
        <v>85</v>
      </c>
    </row>
    <row r="89" spans="1:26" x14ac:dyDescent="0.35">
      <c r="A89">
        <v>839</v>
      </c>
      <c r="B89" t="s">
        <v>638</v>
      </c>
      <c r="C89" s="1">
        <v>42554</v>
      </c>
      <c r="D89" s="1">
        <v>42707</v>
      </c>
      <c r="E89">
        <v>153</v>
      </c>
      <c r="F89" t="s">
        <v>639</v>
      </c>
      <c r="G89" t="s">
        <v>640</v>
      </c>
      <c r="H89" t="s">
        <v>57</v>
      </c>
      <c r="I89" t="s">
        <v>44</v>
      </c>
      <c r="J89" t="s">
        <v>31</v>
      </c>
      <c r="K89" t="s">
        <v>59</v>
      </c>
      <c r="L89" t="s">
        <v>641</v>
      </c>
      <c r="M89" t="s">
        <v>61</v>
      </c>
      <c r="N89" t="s">
        <v>642</v>
      </c>
      <c r="O89" t="s">
        <v>643</v>
      </c>
      <c r="P89" t="s">
        <v>64</v>
      </c>
      <c r="Q89" t="s">
        <v>65</v>
      </c>
      <c r="R89" t="s">
        <v>644</v>
      </c>
      <c r="S89">
        <v>21.071999999999999</v>
      </c>
      <c r="T89">
        <v>1.5804</v>
      </c>
      <c r="U89">
        <v>7.5000000000000011E-2</v>
      </c>
      <c r="V89">
        <v>3</v>
      </c>
      <c r="W89">
        <v>0.2</v>
      </c>
      <c r="X89">
        <v>2016</v>
      </c>
      <c r="Y89">
        <v>7</v>
      </c>
      <c r="Z89" t="s">
        <v>217</v>
      </c>
    </row>
    <row r="90" spans="1:26" x14ac:dyDescent="0.35">
      <c r="A90">
        <v>843</v>
      </c>
      <c r="B90" t="s">
        <v>645</v>
      </c>
      <c r="C90" s="1">
        <v>42562</v>
      </c>
      <c r="D90" s="1">
        <v>42624</v>
      </c>
      <c r="E90">
        <v>62</v>
      </c>
      <c r="F90" t="s">
        <v>646</v>
      </c>
      <c r="G90" t="s">
        <v>647</v>
      </c>
      <c r="H90" t="s">
        <v>57</v>
      </c>
      <c r="I90" t="s">
        <v>58</v>
      </c>
      <c r="J90" t="s">
        <v>31</v>
      </c>
      <c r="K90" t="s">
        <v>205</v>
      </c>
      <c r="L90" t="s">
        <v>206</v>
      </c>
      <c r="M90" t="s">
        <v>47</v>
      </c>
      <c r="N90" t="s">
        <v>436</v>
      </c>
      <c r="O90" t="s">
        <v>648</v>
      </c>
      <c r="P90" t="s">
        <v>50</v>
      </c>
      <c r="Q90" t="s">
        <v>51</v>
      </c>
      <c r="R90" t="s">
        <v>649</v>
      </c>
      <c r="S90">
        <v>37.44</v>
      </c>
      <c r="T90">
        <v>11.7</v>
      </c>
      <c r="U90">
        <v>0.3125</v>
      </c>
      <c r="V90">
        <v>4</v>
      </c>
      <c r="W90">
        <v>0.2</v>
      </c>
      <c r="X90">
        <v>2016</v>
      </c>
      <c r="Y90">
        <v>7</v>
      </c>
      <c r="Z90" t="s">
        <v>217</v>
      </c>
    </row>
    <row r="91" spans="1:26" x14ac:dyDescent="0.35">
      <c r="A91">
        <v>849</v>
      </c>
      <c r="B91" t="s">
        <v>650</v>
      </c>
      <c r="C91" s="1">
        <v>42736</v>
      </c>
      <c r="D91" s="1">
        <v>42887</v>
      </c>
      <c r="E91">
        <v>151</v>
      </c>
      <c r="F91" t="s">
        <v>651</v>
      </c>
      <c r="G91" t="s">
        <v>652</v>
      </c>
      <c r="H91" t="s">
        <v>29</v>
      </c>
      <c r="I91" t="s">
        <v>44</v>
      </c>
      <c r="J91" t="s">
        <v>31</v>
      </c>
      <c r="K91" t="s">
        <v>181</v>
      </c>
      <c r="L91" t="s">
        <v>653</v>
      </c>
      <c r="M91" t="s">
        <v>126</v>
      </c>
      <c r="N91" t="s">
        <v>654</v>
      </c>
      <c r="O91" t="s">
        <v>655</v>
      </c>
      <c r="P91" t="s">
        <v>37</v>
      </c>
      <c r="Q91" t="s">
        <v>129</v>
      </c>
      <c r="R91" t="s">
        <v>656</v>
      </c>
      <c r="S91">
        <v>48.896000000000001</v>
      </c>
      <c r="T91">
        <v>8.5568000000000008</v>
      </c>
      <c r="U91">
        <v>0.17500000000000002</v>
      </c>
      <c r="V91">
        <v>4</v>
      </c>
      <c r="W91">
        <v>0.2</v>
      </c>
      <c r="X91">
        <v>2017</v>
      </c>
      <c r="Y91">
        <v>1</v>
      </c>
      <c r="Z91" t="s">
        <v>147</v>
      </c>
    </row>
    <row r="92" spans="1:26" x14ac:dyDescent="0.35">
      <c r="A92">
        <v>850</v>
      </c>
      <c r="B92" t="s">
        <v>657</v>
      </c>
      <c r="C92" s="1">
        <v>41822</v>
      </c>
      <c r="D92" s="1">
        <v>41975</v>
      </c>
      <c r="E92">
        <v>153</v>
      </c>
      <c r="F92" t="s">
        <v>658</v>
      </c>
      <c r="G92" t="s">
        <v>659</v>
      </c>
      <c r="H92" t="s">
        <v>57</v>
      </c>
      <c r="I92" t="s">
        <v>44</v>
      </c>
      <c r="J92" t="s">
        <v>31</v>
      </c>
      <c r="K92" t="s">
        <v>311</v>
      </c>
      <c r="L92" t="s">
        <v>660</v>
      </c>
      <c r="M92" t="s">
        <v>126</v>
      </c>
      <c r="N92" t="s">
        <v>661</v>
      </c>
      <c r="O92" t="s">
        <v>662</v>
      </c>
      <c r="P92" t="s">
        <v>64</v>
      </c>
      <c r="Q92" t="s">
        <v>288</v>
      </c>
      <c r="R92" t="s">
        <v>663</v>
      </c>
      <c r="S92">
        <v>115.36</v>
      </c>
      <c r="T92">
        <v>49.604799999999997</v>
      </c>
      <c r="U92">
        <v>0.43</v>
      </c>
      <c r="V92">
        <v>7</v>
      </c>
      <c r="W92">
        <v>0</v>
      </c>
      <c r="X92">
        <v>2014</v>
      </c>
      <c r="Y92">
        <v>7</v>
      </c>
      <c r="Z92" t="s">
        <v>217</v>
      </c>
    </row>
    <row r="93" spans="1:26" x14ac:dyDescent="0.35">
      <c r="A93">
        <v>856</v>
      </c>
      <c r="B93" t="s">
        <v>664</v>
      </c>
      <c r="C93" s="1">
        <v>41706</v>
      </c>
      <c r="D93" s="1">
        <v>41859</v>
      </c>
      <c r="E93">
        <v>153</v>
      </c>
      <c r="F93" t="s">
        <v>665</v>
      </c>
      <c r="G93" t="s">
        <v>666</v>
      </c>
      <c r="H93" t="s">
        <v>29</v>
      </c>
      <c r="I93" t="s">
        <v>44</v>
      </c>
      <c r="J93" t="s">
        <v>31</v>
      </c>
      <c r="K93" t="s">
        <v>124</v>
      </c>
      <c r="L93" t="s">
        <v>125</v>
      </c>
      <c r="M93" t="s">
        <v>126</v>
      </c>
      <c r="N93" t="s">
        <v>667</v>
      </c>
      <c r="O93" t="s">
        <v>668</v>
      </c>
      <c r="P93" t="s">
        <v>50</v>
      </c>
      <c r="Q93" t="s">
        <v>83</v>
      </c>
      <c r="R93" t="s">
        <v>669</v>
      </c>
      <c r="S93">
        <v>39.96</v>
      </c>
      <c r="T93">
        <v>18.781199999999998</v>
      </c>
      <c r="U93">
        <v>0.47</v>
      </c>
      <c r="V93">
        <v>2</v>
      </c>
      <c r="W93">
        <v>0</v>
      </c>
      <c r="X93">
        <v>2014</v>
      </c>
      <c r="Y93">
        <v>3</v>
      </c>
      <c r="Z93" t="s">
        <v>103</v>
      </c>
    </row>
    <row r="94" spans="1:26" x14ac:dyDescent="0.35">
      <c r="A94">
        <v>863</v>
      </c>
      <c r="B94" t="s">
        <v>670</v>
      </c>
      <c r="C94" s="1">
        <v>42491</v>
      </c>
      <c r="D94" s="1">
        <v>42552</v>
      </c>
      <c r="E94">
        <v>61</v>
      </c>
      <c r="F94" t="s">
        <v>671</v>
      </c>
      <c r="G94" t="s">
        <v>672</v>
      </c>
      <c r="H94" t="s">
        <v>57</v>
      </c>
      <c r="I94" t="s">
        <v>30</v>
      </c>
      <c r="J94" t="s">
        <v>31</v>
      </c>
      <c r="K94" t="s">
        <v>272</v>
      </c>
      <c r="L94" t="s">
        <v>471</v>
      </c>
      <c r="M94" t="s">
        <v>34</v>
      </c>
      <c r="N94" t="s">
        <v>472</v>
      </c>
      <c r="O94" t="s">
        <v>673</v>
      </c>
      <c r="P94" t="s">
        <v>64</v>
      </c>
      <c r="Q94" t="s">
        <v>288</v>
      </c>
      <c r="R94" t="s">
        <v>674</v>
      </c>
      <c r="S94">
        <v>191.47200000000001</v>
      </c>
      <c r="T94">
        <v>40.687800000000003</v>
      </c>
      <c r="U94">
        <v>0.21249999999999999</v>
      </c>
      <c r="V94">
        <v>6</v>
      </c>
      <c r="W94">
        <v>0.2</v>
      </c>
      <c r="X94">
        <v>2016</v>
      </c>
      <c r="Y94">
        <v>5</v>
      </c>
      <c r="Z94" t="s">
        <v>53</v>
      </c>
    </row>
    <row r="95" spans="1:26" x14ac:dyDescent="0.35">
      <c r="A95">
        <v>869</v>
      </c>
      <c r="B95" t="s">
        <v>675</v>
      </c>
      <c r="C95" s="1">
        <v>41794</v>
      </c>
      <c r="D95" s="1">
        <v>41916</v>
      </c>
      <c r="E95">
        <v>122</v>
      </c>
      <c r="F95" t="s">
        <v>676</v>
      </c>
      <c r="G95" t="s">
        <v>677</v>
      </c>
      <c r="H95" t="s">
        <v>57</v>
      </c>
      <c r="I95" t="s">
        <v>44</v>
      </c>
      <c r="J95" t="s">
        <v>31</v>
      </c>
      <c r="K95" t="s">
        <v>189</v>
      </c>
      <c r="L95" t="s">
        <v>678</v>
      </c>
      <c r="M95" t="s">
        <v>126</v>
      </c>
      <c r="N95" t="s">
        <v>679</v>
      </c>
      <c r="O95" t="s">
        <v>680</v>
      </c>
      <c r="P95" t="s">
        <v>50</v>
      </c>
      <c r="Q95" t="s">
        <v>51</v>
      </c>
      <c r="R95" t="s">
        <v>681</v>
      </c>
      <c r="S95">
        <v>44.91</v>
      </c>
      <c r="T95">
        <v>-35.927999999999997</v>
      </c>
      <c r="U95">
        <v>-0.8</v>
      </c>
      <c r="V95">
        <v>6</v>
      </c>
      <c r="W95">
        <v>0.7</v>
      </c>
      <c r="X95">
        <v>2014</v>
      </c>
      <c r="Y95">
        <v>6</v>
      </c>
      <c r="Z95" t="s">
        <v>120</v>
      </c>
    </row>
    <row r="96" spans="1:26" x14ac:dyDescent="0.35">
      <c r="A96">
        <v>870</v>
      </c>
      <c r="B96" t="s">
        <v>682</v>
      </c>
      <c r="C96" s="1">
        <v>42438</v>
      </c>
      <c r="D96" s="1">
        <v>42499</v>
      </c>
      <c r="E96">
        <v>61</v>
      </c>
      <c r="F96" t="s">
        <v>683</v>
      </c>
      <c r="G96" t="s">
        <v>684</v>
      </c>
      <c r="H96" t="s">
        <v>107</v>
      </c>
      <c r="I96" t="s">
        <v>58</v>
      </c>
      <c r="J96" t="s">
        <v>31</v>
      </c>
      <c r="K96" t="s">
        <v>189</v>
      </c>
      <c r="L96" t="s">
        <v>190</v>
      </c>
      <c r="M96" t="s">
        <v>126</v>
      </c>
      <c r="N96" t="s">
        <v>685</v>
      </c>
      <c r="O96" t="s">
        <v>686</v>
      </c>
      <c r="P96" t="s">
        <v>50</v>
      </c>
      <c r="Q96" t="s">
        <v>51</v>
      </c>
      <c r="R96" t="s">
        <v>687</v>
      </c>
      <c r="S96">
        <v>1141.47</v>
      </c>
      <c r="T96">
        <v>-760.98</v>
      </c>
      <c r="U96">
        <v>-0.66666666666666663</v>
      </c>
      <c r="V96">
        <v>5</v>
      </c>
      <c r="W96">
        <v>0.7</v>
      </c>
      <c r="X96">
        <v>2016</v>
      </c>
      <c r="Y96">
        <v>3</v>
      </c>
      <c r="Z96" t="s">
        <v>103</v>
      </c>
    </row>
    <row r="97" spans="1:26" x14ac:dyDescent="0.35">
      <c r="A97">
        <v>895</v>
      </c>
      <c r="B97" t="s">
        <v>688</v>
      </c>
      <c r="C97" s="1">
        <v>42654</v>
      </c>
      <c r="D97" s="1">
        <v>42715</v>
      </c>
      <c r="E97">
        <v>61</v>
      </c>
      <c r="F97" t="s">
        <v>689</v>
      </c>
      <c r="G97" t="s">
        <v>690</v>
      </c>
      <c r="H97" t="s">
        <v>57</v>
      </c>
      <c r="I97" t="s">
        <v>58</v>
      </c>
      <c r="J97" t="s">
        <v>31</v>
      </c>
      <c r="K97" t="s">
        <v>205</v>
      </c>
      <c r="L97" t="s">
        <v>371</v>
      </c>
      <c r="M97" t="s">
        <v>47</v>
      </c>
      <c r="N97" t="s">
        <v>691</v>
      </c>
      <c r="O97" t="s">
        <v>692</v>
      </c>
      <c r="P97" t="s">
        <v>50</v>
      </c>
      <c r="Q97" t="s">
        <v>110</v>
      </c>
      <c r="R97" t="s">
        <v>693</v>
      </c>
      <c r="S97">
        <v>155.82</v>
      </c>
      <c r="T97">
        <v>42.071399999999997</v>
      </c>
      <c r="U97">
        <v>0.27</v>
      </c>
      <c r="V97">
        <v>7</v>
      </c>
      <c r="W97">
        <v>0</v>
      </c>
      <c r="X97">
        <v>2016</v>
      </c>
      <c r="Y97">
        <v>10</v>
      </c>
      <c r="Z97" t="s">
        <v>694</v>
      </c>
    </row>
    <row r="98" spans="1:26" x14ac:dyDescent="0.35">
      <c r="A98">
        <v>897</v>
      </c>
      <c r="B98" t="s">
        <v>695</v>
      </c>
      <c r="C98" s="1">
        <v>42439</v>
      </c>
      <c r="D98" s="1">
        <v>42531</v>
      </c>
      <c r="E98">
        <v>92</v>
      </c>
      <c r="F98" t="s">
        <v>696</v>
      </c>
      <c r="G98" t="s">
        <v>697</v>
      </c>
      <c r="H98" t="s">
        <v>29</v>
      </c>
      <c r="I98" t="s">
        <v>30</v>
      </c>
      <c r="J98" t="s">
        <v>31</v>
      </c>
      <c r="K98" t="s">
        <v>59</v>
      </c>
      <c r="L98" t="s">
        <v>89</v>
      </c>
      <c r="M98" t="s">
        <v>61</v>
      </c>
      <c r="N98" t="s">
        <v>108</v>
      </c>
      <c r="O98" t="s">
        <v>698</v>
      </c>
      <c r="P98" t="s">
        <v>50</v>
      </c>
      <c r="Q98" t="s">
        <v>101</v>
      </c>
      <c r="R98" t="s">
        <v>699</v>
      </c>
      <c r="S98">
        <v>15.648</v>
      </c>
      <c r="T98">
        <v>5.0856000000000003</v>
      </c>
      <c r="U98">
        <v>0.32500000000000001</v>
      </c>
      <c r="V98">
        <v>2</v>
      </c>
      <c r="W98">
        <v>0.2</v>
      </c>
      <c r="X98">
        <v>2016</v>
      </c>
      <c r="Y98">
        <v>3</v>
      </c>
      <c r="Z98" t="s">
        <v>103</v>
      </c>
    </row>
    <row r="99" spans="1:26" x14ac:dyDescent="0.35">
      <c r="A99">
        <v>900</v>
      </c>
      <c r="B99" t="s">
        <v>700</v>
      </c>
      <c r="C99" s="1">
        <v>42647</v>
      </c>
      <c r="D99" s="1">
        <v>42708</v>
      </c>
      <c r="E99">
        <v>61</v>
      </c>
      <c r="F99" t="s">
        <v>701</v>
      </c>
      <c r="G99" t="s">
        <v>702</v>
      </c>
      <c r="H99" t="s">
        <v>57</v>
      </c>
      <c r="I99" t="s">
        <v>58</v>
      </c>
      <c r="J99" t="s">
        <v>31</v>
      </c>
      <c r="K99" t="s">
        <v>181</v>
      </c>
      <c r="L99" t="s">
        <v>80</v>
      </c>
      <c r="M99" t="s">
        <v>126</v>
      </c>
      <c r="N99" t="s">
        <v>703</v>
      </c>
      <c r="O99" t="s">
        <v>704</v>
      </c>
      <c r="P99" t="s">
        <v>50</v>
      </c>
      <c r="Q99" t="s">
        <v>51</v>
      </c>
      <c r="R99" t="s">
        <v>705</v>
      </c>
      <c r="S99">
        <v>8.9039999999999999</v>
      </c>
      <c r="T99">
        <v>-6.5296000000000003</v>
      </c>
      <c r="U99">
        <v>-0.73333333333333339</v>
      </c>
      <c r="V99">
        <v>2</v>
      </c>
      <c r="W99">
        <v>0.7</v>
      </c>
      <c r="X99">
        <v>2016</v>
      </c>
      <c r="Y99">
        <v>10</v>
      </c>
      <c r="Z99" t="s">
        <v>694</v>
      </c>
    </row>
    <row r="100" spans="1:26" x14ac:dyDescent="0.35">
      <c r="A100">
        <v>904</v>
      </c>
      <c r="B100" t="s">
        <v>706</v>
      </c>
      <c r="C100" s="1">
        <v>42586</v>
      </c>
      <c r="D100" s="1">
        <v>42708</v>
      </c>
      <c r="E100">
        <v>122</v>
      </c>
      <c r="F100" t="s">
        <v>707</v>
      </c>
      <c r="G100" t="s">
        <v>708</v>
      </c>
      <c r="H100" t="s">
        <v>29</v>
      </c>
      <c r="I100" t="s">
        <v>44</v>
      </c>
      <c r="J100" t="s">
        <v>31</v>
      </c>
      <c r="K100" t="s">
        <v>205</v>
      </c>
      <c r="L100" t="s">
        <v>206</v>
      </c>
      <c r="M100" t="s">
        <v>47</v>
      </c>
      <c r="N100" t="s">
        <v>442</v>
      </c>
      <c r="O100" t="s">
        <v>709</v>
      </c>
      <c r="P100" t="s">
        <v>50</v>
      </c>
      <c r="Q100" t="s">
        <v>83</v>
      </c>
      <c r="R100" t="s">
        <v>710</v>
      </c>
      <c r="S100">
        <v>20.04</v>
      </c>
      <c r="T100">
        <v>9.6191999999999993</v>
      </c>
      <c r="U100">
        <v>0.48</v>
      </c>
      <c r="V100">
        <v>3</v>
      </c>
      <c r="W100">
        <v>0</v>
      </c>
      <c r="X100">
        <v>2016</v>
      </c>
      <c r="Y100">
        <v>8</v>
      </c>
      <c r="Z100" t="s">
        <v>40</v>
      </c>
    </row>
    <row r="101" spans="1:26" x14ac:dyDescent="0.35">
      <c r="A101">
        <v>910</v>
      </c>
      <c r="B101" t="s">
        <v>711</v>
      </c>
      <c r="C101" s="1">
        <v>42775</v>
      </c>
      <c r="D101" s="1">
        <v>42925</v>
      </c>
      <c r="E101">
        <v>150</v>
      </c>
      <c r="F101" t="s">
        <v>712</v>
      </c>
      <c r="G101" t="s">
        <v>713</v>
      </c>
      <c r="H101" t="s">
        <v>107</v>
      </c>
      <c r="I101" t="s">
        <v>44</v>
      </c>
      <c r="J101" t="s">
        <v>31</v>
      </c>
      <c r="K101" t="s">
        <v>256</v>
      </c>
      <c r="L101" t="s">
        <v>552</v>
      </c>
      <c r="M101" t="s">
        <v>61</v>
      </c>
      <c r="N101" t="s">
        <v>714</v>
      </c>
      <c r="O101" t="s">
        <v>715</v>
      </c>
      <c r="P101" t="s">
        <v>64</v>
      </c>
      <c r="Q101" t="s">
        <v>65</v>
      </c>
      <c r="R101" t="s">
        <v>716</v>
      </c>
      <c r="S101">
        <v>1199.8</v>
      </c>
      <c r="T101">
        <v>323.94600000000003</v>
      </c>
      <c r="U101">
        <v>0.27</v>
      </c>
      <c r="V101">
        <v>4</v>
      </c>
      <c r="W101">
        <v>0</v>
      </c>
      <c r="X101">
        <v>2017</v>
      </c>
      <c r="Y101">
        <v>2</v>
      </c>
      <c r="Z101" t="s">
        <v>162</v>
      </c>
    </row>
    <row r="102" spans="1:26" x14ac:dyDescent="0.35">
      <c r="A102">
        <v>928</v>
      </c>
      <c r="B102" t="s">
        <v>717</v>
      </c>
      <c r="C102" s="1">
        <v>42134</v>
      </c>
      <c r="D102" s="1">
        <v>42257</v>
      </c>
      <c r="E102">
        <v>123</v>
      </c>
      <c r="F102" t="s">
        <v>718</v>
      </c>
      <c r="G102" t="s">
        <v>719</v>
      </c>
      <c r="H102" t="s">
        <v>107</v>
      </c>
      <c r="I102" t="s">
        <v>44</v>
      </c>
      <c r="J102" t="s">
        <v>31</v>
      </c>
      <c r="K102" t="s">
        <v>79</v>
      </c>
      <c r="L102" t="s">
        <v>80</v>
      </c>
      <c r="M102" t="s">
        <v>34</v>
      </c>
      <c r="N102" t="s">
        <v>81</v>
      </c>
      <c r="O102" t="s">
        <v>720</v>
      </c>
      <c r="P102" t="s">
        <v>50</v>
      </c>
      <c r="Q102" t="s">
        <v>74</v>
      </c>
      <c r="R102" t="s">
        <v>721</v>
      </c>
      <c r="S102">
        <v>46.2</v>
      </c>
      <c r="T102">
        <v>12.936</v>
      </c>
      <c r="U102">
        <v>0.27999999999999997</v>
      </c>
      <c r="V102">
        <v>4</v>
      </c>
      <c r="W102">
        <v>0</v>
      </c>
      <c r="X102">
        <v>2015</v>
      </c>
      <c r="Y102">
        <v>5</v>
      </c>
      <c r="Z102" t="s">
        <v>53</v>
      </c>
    </row>
    <row r="103" spans="1:26" x14ac:dyDescent="0.35">
      <c r="A103">
        <v>933</v>
      </c>
      <c r="B103" t="s">
        <v>722</v>
      </c>
      <c r="C103" s="1">
        <v>42775</v>
      </c>
      <c r="D103" s="1">
        <v>42895</v>
      </c>
      <c r="E103">
        <v>120</v>
      </c>
      <c r="F103" t="s">
        <v>723</v>
      </c>
      <c r="G103" t="s">
        <v>724</v>
      </c>
      <c r="H103" t="s">
        <v>29</v>
      </c>
      <c r="I103" t="s">
        <v>44</v>
      </c>
      <c r="J103" t="s">
        <v>31</v>
      </c>
      <c r="K103" t="s">
        <v>189</v>
      </c>
      <c r="L103" t="s">
        <v>190</v>
      </c>
      <c r="M103" t="s">
        <v>126</v>
      </c>
      <c r="N103" t="s">
        <v>191</v>
      </c>
      <c r="O103" t="s">
        <v>725</v>
      </c>
      <c r="P103" t="s">
        <v>50</v>
      </c>
      <c r="Q103" t="s">
        <v>83</v>
      </c>
      <c r="R103" t="s">
        <v>726</v>
      </c>
      <c r="S103">
        <v>12.192</v>
      </c>
      <c r="T103">
        <v>4.1147999999999998</v>
      </c>
      <c r="U103">
        <v>0.33749999999999997</v>
      </c>
      <c r="V103">
        <v>3</v>
      </c>
      <c r="W103">
        <v>0.2</v>
      </c>
      <c r="X103">
        <v>2017</v>
      </c>
      <c r="Y103">
        <v>2</v>
      </c>
      <c r="Z103" t="s">
        <v>162</v>
      </c>
    </row>
    <row r="104" spans="1:26" x14ac:dyDescent="0.35">
      <c r="A104">
        <v>953</v>
      </c>
      <c r="B104" t="s">
        <v>727</v>
      </c>
      <c r="C104" s="1">
        <v>42798</v>
      </c>
      <c r="D104" s="1">
        <v>42920</v>
      </c>
      <c r="E104">
        <v>122</v>
      </c>
      <c r="F104" t="s">
        <v>728</v>
      </c>
      <c r="G104" t="s">
        <v>729</v>
      </c>
      <c r="H104" t="s">
        <v>29</v>
      </c>
      <c r="I104" t="s">
        <v>44</v>
      </c>
      <c r="J104" t="s">
        <v>31</v>
      </c>
      <c r="K104" t="s">
        <v>189</v>
      </c>
      <c r="L104" t="s">
        <v>190</v>
      </c>
      <c r="M104" t="s">
        <v>126</v>
      </c>
      <c r="N104" t="s">
        <v>685</v>
      </c>
      <c r="O104" t="s">
        <v>730</v>
      </c>
      <c r="P104" t="s">
        <v>37</v>
      </c>
      <c r="Q104" t="s">
        <v>129</v>
      </c>
      <c r="R104" t="s">
        <v>731</v>
      </c>
      <c r="S104">
        <v>25.472000000000001</v>
      </c>
      <c r="T104">
        <v>7.6416000000000004</v>
      </c>
      <c r="U104">
        <v>0.3</v>
      </c>
      <c r="V104">
        <v>4</v>
      </c>
      <c r="W104">
        <v>0.2</v>
      </c>
      <c r="X104">
        <v>2017</v>
      </c>
      <c r="Y104">
        <v>3</v>
      </c>
      <c r="Z104" t="s">
        <v>103</v>
      </c>
    </row>
    <row r="105" spans="1:26" x14ac:dyDescent="0.35">
      <c r="A105">
        <v>963</v>
      </c>
      <c r="B105" t="s">
        <v>732</v>
      </c>
      <c r="C105" s="1">
        <v>42378</v>
      </c>
      <c r="D105" s="1">
        <v>42469</v>
      </c>
      <c r="E105">
        <v>91</v>
      </c>
      <c r="F105" t="s">
        <v>733</v>
      </c>
      <c r="G105" t="s">
        <v>734</v>
      </c>
      <c r="H105" t="s">
        <v>57</v>
      </c>
      <c r="I105" t="s">
        <v>58</v>
      </c>
      <c r="J105" t="s">
        <v>31</v>
      </c>
      <c r="K105" t="s">
        <v>205</v>
      </c>
      <c r="L105" t="s">
        <v>371</v>
      </c>
      <c r="M105" t="s">
        <v>47</v>
      </c>
      <c r="N105" t="s">
        <v>372</v>
      </c>
      <c r="O105" t="s">
        <v>735</v>
      </c>
      <c r="P105" t="s">
        <v>50</v>
      </c>
      <c r="Q105" t="s">
        <v>101</v>
      </c>
      <c r="R105" t="s">
        <v>736</v>
      </c>
      <c r="S105">
        <v>21.88</v>
      </c>
      <c r="T105">
        <v>10.94</v>
      </c>
      <c r="U105">
        <v>0.5</v>
      </c>
      <c r="V105">
        <v>2</v>
      </c>
      <c r="W105">
        <v>0</v>
      </c>
      <c r="X105">
        <v>2016</v>
      </c>
      <c r="Y105">
        <v>1</v>
      </c>
      <c r="Z105" t="s">
        <v>147</v>
      </c>
    </row>
    <row r="106" spans="1:26" x14ac:dyDescent="0.35">
      <c r="A106">
        <v>965</v>
      </c>
      <c r="B106" t="s">
        <v>737</v>
      </c>
      <c r="C106" s="1">
        <v>42982</v>
      </c>
      <c r="D106" s="1">
        <v>43043</v>
      </c>
      <c r="E106">
        <v>61</v>
      </c>
      <c r="F106" t="s">
        <v>738</v>
      </c>
      <c r="G106" t="s">
        <v>739</v>
      </c>
      <c r="H106" t="s">
        <v>107</v>
      </c>
      <c r="I106" t="s">
        <v>58</v>
      </c>
      <c r="J106" t="s">
        <v>31</v>
      </c>
      <c r="K106" t="s">
        <v>124</v>
      </c>
      <c r="L106" t="s">
        <v>125</v>
      </c>
      <c r="M106" t="s">
        <v>126</v>
      </c>
      <c r="N106" t="s">
        <v>740</v>
      </c>
      <c r="O106" t="s">
        <v>741</v>
      </c>
      <c r="P106" t="s">
        <v>50</v>
      </c>
      <c r="Q106" t="s">
        <v>267</v>
      </c>
      <c r="R106" t="s">
        <v>742</v>
      </c>
      <c r="S106">
        <v>9.82</v>
      </c>
      <c r="T106">
        <v>4.8117999999999999</v>
      </c>
      <c r="U106">
        <v>0.49</v>
      </c>
      <c r="V106">
        <v>2</v>
      </c>
      <c r="W106">
        <v>0</v>
      </c>
      <c r="X106">
        <v>2017</v>
      </c>
      <c r="Y106">
        <v>9</v>
      </c>
      <c r="Z106" t="s">
        <v>93</v>
      </c>
    </row>
    <row r="107" spans="1:26" x14ac:dyDescent="0.35">
      <c r="A107">
        <v>980</v>
      </c>
      <c r="B107" t="s">
        <v>743</v>
      </c>
      <c r="C107" s="1">
        <v>42259</v>
      </c>
      <c r="D107" s="1">
        <v>42350</v>
      </c>
      <c r="E107">
        <v>91</v>
      </c>
      <c r="F107" t="s">
        <v>87</v>
      </c>
      <c r="G107" t="s">
        <v>88</v>
      </c>
      <c r="H107" t="s">
        <v>57</v>
      </c>
      <c r="I107" t="s">
        <v>58</v>
      </c>
      <c r="J107" t="s">
        <v>31</v>
      </c>
      <c r="K107" t="s">
        <v>536</v>
      </c>
      <c r="L107" t="s">
        <v>182</v>
      </c>
      <c r="M107" t="s">
        <v>61</v>
      </c>
      <c r="N107" t="s">
        <v>537</v>
      </c>
      <c r="O107" t="s">
        <v>744</v>
      </c>
      <c r="P107" t="s">
        <v>50</v>
      </c>
      <c r="Q107" t="s">
        <v>83</v>
      </c>
      <c r="R107" t="s">
        <v>745</v>
      </c>
      <c r="S107">
        <v>34.020000000000003</v>
      </c>
      <c r="T107">
        <v>16.669799999999999</v>
      </c>
      <c r="U107">
        <v>0.48999999999999994</v>
      </c>
      <c r="V107">
        <v>3</v>
      </c>
      <c r="W107">
        <v>0</v>
      </c>
      <c r="X107">
        <v>2015</v>
      </c>
      <c r="Y107">
        <v>9</v>
      </c>
      <c r="Z107" t="s">
        <v>93</v>
      </c>
    </row>
    <row r="108" spans="1:26" x14ac:dyDescent="0.35">
      <c r="A108">
        <v>981</v>
      </c>
      <c r="B108" t="s">
        <v>746</v>
      </c>
      <c r="C108" s="1">
        <v>42439</v>
      </c>
      <c r="D108" s="1">
        <v>42592</v>
      </c>
      <c r="E108">
        <v>153</v>
      </c>
      <c r="F108" t="s">
        <v>747</v>
      </c>
      <c r="G108" t="s">
        <v>748</v>
      </c>
      <c r="H108" t="s">
        <v>29</v>
      </c>
      <c r="I108" t="s">
        <v>44</v>
      </c>
      <c r="J108" t="s">
        <v>31</v>
      </c>
      <c r="K108" t="s">
        <v>124</v>
      </c>
      <c r="L108" t="s">
        <v>125</v>
      </c>
      <c r="M108" t="s">
        <v>126</v>
      </c>
      <c r="N108" t="s">
        <v>667</v>
      </c>
      <c r="O108" t="s">
        <v>749</v>
      </c>
      <c r="P108" t="s">
        <v>37</v>
      </c>
      <c r="Q108" t="s">
        <v>320</v>
      </c>
      <c r="R108" t="s">
        <v>750</v>
      </c>
      <c r="S108">
        <v>599.29200000000003</v>
      </c>
      <c r="T108">
        <v>93.223200000000006</v>
      </c>
      <c r="U108">
        <v>0.15555555555555556</v>
      </c>
      <c r="V108">
        <v>6</v>
      </c>
      <c r="W108">
        <v>0.1</v>
      </c>
      <c r="X108">
        <v>2016</v>
      </c>
      <c r="Y108">
        <v>3</v>
      </c>
      <c r="Z108" t="s">
        <v>103</v>
      </c>
    </row>
    <row r="109" spans="1:26" x14ac:dyDescent="0.35">
      <c r="A109">
        <v>988</v>
      </c>
      <c r="B109" t="s">
        <v>751</v>
      </c>
      <c r="C109" s="1">
        <v>42280</v>
      </c>
      <c r="D109" s="1">
        <v>42280</v>
      </c>
      <c r="E109">
        <v>0</v>
      </c>
      <c r="F109" t="s">
        <v>752</v>
      </c>
      <c r="G109" t="s">
        <v>753</v>
      </c>
      <c r="H109" t="s">
        <v>29</v>
      </c>
      <c r="I109" t="s">
        <v>543</v>
      </c>
      <c r="J109" t="s">
        <v>31</v>
      </c>
      <c r="K109" t="s">
        <v>59</v>
      </c>
      <c r="L109" t="s">
        <v>89</v>
      </c>
      <c r="M109" t="s">
        <v>61</v>
      </c>
      <c r="N109" t="s">
        <v>90</v>
      </c>
      <c r="O109" t="s">
        <v>754</v>
      </c>
      <c r="P109" t="s">
        <v>50</v>
      </c>
      <c r="Q109" t="s">
        <v>51</v>
      </c>
      <c r="R109" t="s">
        <v>755</v>
      </c>
      <c r="S109">
        <v>1.1120000000000001</v>
      </c>
      <c r="T109">
        <v>-1.8904000000000001</v>
      </c>
      <c r="U109">
        <v>-1.7</v>
      </c>
      <c r="V109">
        <v>2</v>
      </c>
      <c r="W109">
        <v>0.8</v>
      </c>
      <c r="X109">
        <v>2015</v>
      </c>
      <c r="Y109">
        <v>10</v>
      </c>
      <c r="Z109" t="s">
        <v>694</v>
      </c>
    </row>
    <row r="110" spans="1:26" x14ac:dyDescent="0.35">
      <c r="A110">
        <v>1007</v>
      </c>
      <c r="B110" t="s">
        <v>756</v>
      </c>
      <c r="C110" s="1">
        <v>42166</v>
      </c>
      <c r="D110" s="1">
        <v>42258</v>
      </c>
      <c r="E110">
        <v>92</v>
      </c>
      <c r="F110" t="s">
        <v>757</v>
      </c>
      <c r="G110" t="s">
        <v>758</v>
      </c>
      <c r="H110" t="s">
        <v>29</v>
      </c>
      <c r="I110" t="s">
        <v>58</v>
      </c>
      <c r="J110" t="s">
        <v>31</v>
      </c>
      <c r="K110" t="s">
        <v>70</v>
      </c>
      <c r="L110" t="s">
        <v>759</v>
      </c>
      <c r="M110" t="s">
        <v>47</v>
      </c>
      <c r="N110" t="s">
        <v>760</v>
      </c>
      <c r="O110" t="s">
        <v>761</v>
      </c>
      <c r="P110" t="s">
        <v>50</v>
      </c>
      <c r="Q110" t="s">
        <v>101</v>
      </c>
      <c r="R110" t="s">
        <v>762</v>
      </c>
      <c r="S110">
        <v>7.08</v>
      </c>
      <c r="T110">
        <v>2.4780000000000002</v>
      </c>
      <c r="U110">
        <v>0.35000000000000003</v>
      </c>
      <c r="V110">
        <v>3</v>
      </c>
      <c r="W110">
        <v>0.2</v>
      </c>
      <c r="X110">
        <v>2015</v>
      </c>
      <c r="Y110">
        <v>6</v>
      </c>
      <c r="Z110" t="s">
        <v>120</v>
      </c>
    </row>
    <row r="111" spans="1:26" x14ac:dyDescent="0.35">
      <c r="A111">
        <v>1017</v>
      </c>
      <c r="B111" t="s">
        <v>763</v>
      </c>
      <c r="C111" s="1">
        <v>42162</v>
      </c>
      <c r="D111" s="1">
        <v>42284</v>
      </c>
      <c r="E111">
        <v>122</v>
      </c>
      <c r="F111" t="s">
        <v>764</v>
      </c>
      <c r="G111" t="s">
        <v>765</v>
      </c>
      <c r="H111" t="s">
        <v>57</v>
      </c>
      <c r="I111" t="s">
        <v>44</v>
      </c>
      <c r="J111" t="s">
        <v>31</v>
      </c>
      <c r="K111" t="s">
        <v>124</v>
      </c>
      <c r="L111" t="s">
        <v>125</v>
      </c>
      <c r="M111" t="s">
        <v>126</v>
      </c>
      <c r="N111" t="s">
        <v>740</v>
      </c>
      <c r="O111" t="s">
        <v>766</v>
      </c>
      <c r="P111" t="s">
        <v>37</v>
      </c>
      <c r="Q111" t="s">
        <v>129</v>
      </c>
      <c r="R111" t="s">
        <v>767</v>
      </c>
      <c r="S111">
        <v>13.96</v>
      </c>
      <c r="T111">
        <v>6.7008000000000001</v>
      </c>
      <c r="U111">
        <v>0.48</v>
      </c>
      <c r="V111">
        <v>2</v>
      </c>
      <c r="W111">
        <v>0</v>
      </c>
      <c r="X111">
        <v>2015</v>
      </c>
      <c r="Y111">
        <v>6</v>
      </c>
      <c r="Z111" t="s">
        <v>120</v>
      </c>
    </row>
    <row r="112" spans="1:26" x14ac:dyDescent="0.35">
      <c r="A112">
        <v>1042</v>
      </c>
      <c r="B112" t="s">
        <v>768</v>
      </c>
      <c r="C112" s="1">
        <v>42530</v>
      </c>
      <c r="D112" s="1">
        <v>42622</v>
      </c>
      <c r="E112">
        <v>92</v>
      </c>
      <c r="F112" t="s">
        <v>769</v>
      </c>
      <c r="G112" t="s">
        <v>770</v>
      </c>
      <c r="H112" t="s">
        <v>29</v>
      </c>
      <c r="I112" t="s">
        <v>30</v>
      </c>
      <c r="J112" t="s">
        <v>31</v>
      </c>
      <c r="K112" t="s">
        <v>124</v>
      </c>
      <c r="L112" t="s">
        <v>125</v>
      </c>
      <c r="M112" t="s">
        <v>126</v>
      </c>
      <c r="N112" t="s">
        <v>667</v>
      </c>
      <c r="O112" t="s">
        <v>771</v>
      </c>
      <c r="P112" t="s">
        <v>64</v>
      </c>
      <c r="Q112" t="s">
        <v>288</v>
      </c>
      <c r="R112" t="s">
        <v>772</v>
      </c>
      <c r="S112">
        <v>31.86</v>
      </c>
      <c r="T112">
        <v>11.151</v>
      </c>
      <c r="U112">
        <v>0.35</v>
      </c>
      <c r="V112">
        <v>2</v>
      </c>
      <c r="W112">
        <v>0</v>
      </c>
      <c r="X112">
        <v>2016</v>
      </c>
      <c r="Y112">
        <v>6</v>
      </c>
      <c r="Z112" t="s">
        <v>120</v>
      </c>
    </row>
    <row r="113" spans="1:26" x14ac:dyDescent="0.35">
      <c r="A113">
        <v>1044</v>
      </c>
      <c r="B113" t="s">
        <v>773</v>
      </c>
      <c r="C113" s="1">
        <v>42985</v>
      </c>
      <c r="D113" s="1">
        <v>43076</v>
      </c>
      <c r="E113">
        <v>91</v>
      </c>
      <c r="F113" t="s">
        <v>774</v>
      </c>
      <c r="G113" t="s">
        <v>775</v>
      </c>
      <c r="H113" t="s">
        <v>57</v>
      </c>
      <c r="I113" t="s">
        <v>58</v>
      </c>
      <c r="J113" t="s">
        <v>31</v>
      </c>
      <c r="K113" t="s">
        <v>234</v>
      </c>
      <c r="L113" t="s">
        <v>280</v>
      </c>
      <c r="M113" t="s">
        <v>61</v>
      </c>
      <c r="N113" t="s">
        <v>281</v>
      </c>
      <c r="O113" t="s">
        <v>776</v>
      </c>
      <c r="P113" t="s">
        <v>50</v>
      </c>
      <c r="Q113" t="s">
        <v>74</v>
      </c>
      <c r="R113" t="s">
        <v>777</v>
      </c>
      <c r="S113">
        <v>8.84</v>
      </c>
      <c r="T113">
        <v>2.9834999999999998</v>
      </c>
      <c r="U113">
        <v>0.33749999999999997</v>
      </c>
      <c r="V113">
        <v>5</v>
      </c>
      <c r="W113">
        <v>0.2</v>
      </c>
      <c r="X113">
        <v>2017</v>
      </c>
      <c r="Y113">
        <v>9</v>
      </c>
      <c r="Z113" t="s">
        <v>93</v>
      </c>
    </row>
    <row r="114" spans="1:26" x14ac:dyDescent="0.35">
      <c r="A114">
        <v>1051</v>
      </c>
      <c r="B114" t="s">
        <v>778</v>
      </c>
      <c r="C114" s="1">
        <v>42070</v>
      </c>
      <c r="D114" s="1">
        <v>42131</v>
      </c>
      <c r="E114">
        <v>61</v>
      </c>
      <c r="F114" t="s">
        <v>779</v>
      </c>
      <c r="G114" t="s">
        <v>780</v>
      </c>
      <c r="H114" t="s">
        <v>57</v>
      </c>
      <c r="I114" t="s">
        <v>58</v>
      </c>
      <c r="J114" t="s">
        <v>31</v>
      </c>
      <c r="K114" t="s">
        <v>189</v>
      </c>
      <c r="L114" t="s">
        <v>190</v>
      </c>
      <c r="M114" t="s">
        <v>126</v>
      </c>
      <c r="N114" t="s">
        <v>430</v>
      </c>
      <c r="O114" t="s">
        <v>781</v>
      </c>
      <c r="P114" t="s">
        <v>37</v>
      </c>
      <c r="Q114" t="s">
        <v>129</v>
      </c>
      <c r="R114" t="s">
        <v>782</v>
      </c>
      <c r="S114">
        <v>168.464</v>
      </c>
      <c r="T114">
        <v>-29.481200000000001</v>
      </c>
      <c r="U114">
        <v>-0.17500000000000002</v>
      </c>
      <c r="V114">
        <v>2</v>
      </c>
      <c r="W114">
        <v>0.2</v>
      </c>
      <c r="X114">
        <v>2015</v>
      </c>
      <c r="Y114">
        <v>3</v>
      </c>
      <c r="Z114" t="s">
        <v>103</v>
      </c>
    </row>
    <row r="115" spans="1:26" x14ac:dyDescent="0.35">
      <c r="A115">
        <v>1054</v>
      </c>
      <c r="B115" t="s">
        <v>783</v>
      </c>
      <c r="C115" s="1">
        <v>42098</v>
      </c>
      <c r="D115" s="1">
        <v>42220</v>
      </c>
      <c r="E115">
        <v>122</v>
      </c>
      <c r="F115" t="s">
        <v>784</v>
      </c>
      <c r="G115" t="s">
        <v>785</v>
      </c>
      <c r="H115" t="s">
        <v>107</v>
      </c>
      <c r="I115" t="s">
        <v>44</v>
      </c>
      <c r="J115" t="s">
        <v>31</v>
      </c>
      <c r="K115" t="s">
        <v>124</v>
      </c>
      <c r="L115" t="s">
        <v>125</v>
      </c>
      <c r="M115" t="s">
        <v>126</v>
      </c>
      <c r="N115" t="s">
        <v>127</v>
      </c>
      <c r="O115" t="s">
        <v>786</v>
      </c>
      <c r="P115" t="s">
        <v>50</v>
      </c>
      <c r="Q115" t="s">
        <v>74</v>
      </c>
      <c r="R115" t="s">
        <v>787</v>
      </c>
      <c r="S115">
        <v>11.16</v>
      </c>
      <c r="T115">
        <v>4.3524000000000003</v>
      </c>
      <c r="U115">
        <v>0.39</v>
      </c>
      <c r="V115">
        <v>2</v>
      </c>
      <c r="W115">
        <v>0</v>
      </c>
      <c r="X115">
        <v>2015</v>
      </c>
      <c r="Y115">
        <v>4</v>
      </c>
      <c r="Z115" t="s">
        <v>85</v>
      </c>
    </row>
    <row r="116" spans="1:26" x14ac:dyDescent="0.35">
      <c r="A116">
        <v>1087</v>
      </c>
      <c r="B116" t="s">
        <v>788</v>
      </c>
      <c r="C116" s="1">
        <v>42712</v>
      </c>
      <c r="D116" s="1">
        <v>42712</v>
      </c>
      <c r="E116">
        <v>0</v>
      </c>
      <c r="F116" t="s">
        <v>789</v>
      </c>
      <c r="G116" t="s">
        <v>790</v>
      </c>
      <c r="H116" t="s">
        <v>29</v>
      </c>
      <c r="I116" t="s">
        <v>543</v>
      </c>
      <c r="J116" t="s">
        <v>31</v>
      </c>
      <c r="K116" t="s">
        <v>151</v>
      </c>
      <c r="L116" t="s">
        <v>791</v>
      </c>
      <c r="M116" t="s">
        <v>61</v>
      </c>
      <c r="N116" t="s">
        <v>792</v>
      </c>
      <c r="O116" t="s">
        <v>793</v>
      </c>
      <c r="P116" t="s">
        <v>50</v>
      </c>
      <c r="Q116" t="s">
        <v>83</v>
      </c>
      <c r="R116" t="s">
        <v>794</v>
      </c>
      <c r="S116">
        <v>6.48</v>
      </c>
      <c r="T116">
        <v>3.1103999999999998</v>
      </c>
      <c r="U116">
        <v>0.47999999999999993</v>
      </c>
      <c r="V116">
        <v>1</v>
      </c>
      <c r="W116">
        <v>0</v>
      </c>
      <c r="X116">
        <v>2016</v>
      </c>
      <c r="Y116">
        <v>12</v>
      </c>
      <c r="Z116" t="s">
        <v>795</v>
      </c>
    </row>
    <row r="117" spans="1:26" x14ac:dyDescent="0.35">
      <c r="A117">
        <v>1128</v>
      </c>
      <c r="B117" t="s">
        <v>796</v>
      </c>
      <c r="C117" s="1">
        <v>42038</v>
      </c>
      <c r="D117" s="1">
        <v>42188</v>
      </c>
      <c r="E117">
        <v>150</v>
      </c>
      <c r="F117" t="s">
        <v>797</v>
      </c>
      <c r="G117" t="s">
        <v>798</v>
      </c>
      <c r="H117" t="s">
        <v>107</v>
      </c>
      <c r="I117" t="s">
        <v>44</v>
      </c>
      <c r="J117" t="s">
        <v>31</v>
      </c>
      <c r="K117" t="s">
        <v>536</v>
      </c>
      <c r="L117" t="s">
        <v>382</v>
      </c>
      <c r="M117" t="s">
        <v>61</v>
      </c>
      <c r="N117" t="s">
        <v>799</v>
      </c>
      <c r="O117" t="s">
        <v>800</v>
      </c>
      <c r="P117" t="s">
        <v>50</v>
      </c>
      <c r="Q117" t="s">
        <v>74</v>
      </c>
      <c r="R117" t="s">
        <v>801</v>
      </c>
      <c r="S117">
        <v>10.16</v>
      </c>
      <c r="T117">
        <v>2.6415999999999999</v>
      </c>
      <c r="U117">
        <v>0.26</v>
      </c>
      <c r="V117">
        <v>1</v>
      </c>
      <c r="W117">
        <v>0</v>
      </c>
      <c r="X117">
        <v>2015</v>
      </c>
      <c r="Y117">
        <v>2</v>
      </c>
      <c r="Z117" t="s">
        <v>162</v>
      </c>
    </row>
    <row r="118" spans="1:26" x14ac:dyDescent="0.35">
      <c r="A118">
        <v>1136</v>
      </c>
      <c r="B118" t="s">
        <v>802</v>
      </c>
      <c r="C118" s="1">
        <v>42686</v>
      </c>
      <c r="D118" s="1">
        <v>42686</v>
      </c>
      <c r="E118">
        <v>0</v>
      </c>
      <c r="F118" t="s">
        <v>803</v>
      </c>
      <c r="G118" t="s">
        <v>804</v>
      </c>
      <c r="H118" t="s">
        <v>29</v>
      </c>
      <c r="I118" t="s">
        <v>543</v>
      </c>
      <c r="J118" t="s">
        <v>31</v>
      </c>
      <c r="K118" t="s">
        <v>272</v>
      </c>
      <c r="L118" t="s">
        <v>805</v>
      </c>
      <c r="M118" t="s">
        <v>34</v>
      </c>
      <c r="N118" t="s">
        <v>806</v>
      </c>
      <c r="O118" t="s">
        <v>807</v>
      </c>
      <c r="P118" t="s">
        <v>50</v>
      </c>
      <c r="Q118" t="s">
        <v>110</v>
      </c>
      <c r="R118" t="s">
        <v>808</v>
      </c>
      <c r="S118">
        <v>85.224000000000004</v>
      </c>
      <c r="T118">
        <v>7.4570999999999996</v>
      </c>
      <c r="U118">
        <v>8.7499999999999994E-2</v>
      </c>
      <c r="V118">
        <v>3</v>
      </c>
      <c r="W118">
        <v>0.2</v>
      </c>
      <c r="X118">
        <v>2016</v>
      </c>
      <c r="Y118">
        <v>11</v>
      </c>
      <c r="Z118" t="s">
        <v>210</v>
      </c>
    </row>
    <row r="119" spans="1:26" x14ac:dyDescent="0.35">
      <c r="A119">
        <v>1147</v>
      </c>
      <c r="B119" t="s">
        <v>809</v>
      </c>
      <c r="C119" s="1">
        <v>42098</v>
      </c>
      <c r="D119" s="1">
        <v>42098</v>
      </c>
      <c r="E119">
        <v>0</v>
      </c>
      <c r="F119" t="s">
        <v>810</v>
      </c>
      <c r="G119" t="s">
        <v>811</v>
      </c>
      <c r="H119" t="s">
        <v>29</v>
      </c>
      <c r="I119" t="s">
        <v>543</v>
      </c>
      <c r="J119" t="s">
        <v>31</v>
      </c>
      <c r="K119" t="s">
        <v>256</v>
      </c>
      <c r="L119" t="s">
        <v>812</v>
      </c>
      <c r="M119" t="s">
        <v>61</v>
      </c>
      <c r="N119" t="s">
        <v>813</v>
      </c>
      <c r="O119" t="s">
        <v>814</v>
      </c>
      <c r="P119" t="s">
        <v>50</v>
      </c>
      <c r="Q119" t="s">
        <v>138</v>
      </c>
      <c r="R119" t="s">
        <v>815</v>
      </c>
      <c r="S119">
        <v>644.07600000000002</v>
      </c>
      <c r="T119">
        <v>107.346</v>
      </c>
      <c r="U119">
        <v>0.16666666666666666</v>
      </c>
      <c r="V119">
        <v>2</v>
      </c>
      <c r="W119">
        <v>0.1</v>
      </c>
      <c r="X119">
        <v>2015</v>
      </c>
      <c r="Y119">
        <v>4</v>
      </c>
      <c r="Z119" t="s">
        <v>85</v>
      </c>
    </row>
    <row r="120" spans="1:26" x14ac:dyDescent="0.35">
      <c r="A120">
        <v>1159</v>
      </c>
      <c r="B120" t="s">
        <v>816</v>
      </c>
      <c r="C120" s="1">
        <v>42407</v>
      </c>
      <c r="D120" s="1">
        <v>42558</v>
      </c>
      <c r="E120">
        <v>151</v>
      </c>
      <c r="F120" t="s">
        <v>817</v>
      </c>
      <c r="G120" t="s">
        <v>818</v>
      </c>
      <c r="H120" t="s">
        <v>57</v>
      </c>
      <c r="I120" t="s">
        <v>30</v>
      </c>
      <c r="J120" t="s">
        <v>31</v>
      </c>
      <c r="K120" t="s">
        <v>205</v>
      </c>
      <c r="L120" t="s">
        <v>206</v>
      </c>
      <c r="M120" t="s">
        <v>47</v>
      </c>
      <c r="N120" t="s">
        <v>228</v>
      </c>
      <c r="O120" t="s">
        <v>819</v>
      </c>
      <c r="P120" t="s">
        <v>37</v>
      </c>
      <c r="Q120" t="s">
        <v>320</v>
      </c>
      <c r="R120" t="s">
        <v>820</v>
      </c>
      <c r="S120">
        <v>195.184</v>
      </c>
      <c r="T120">
        <v>19.5184</v>
      </c>
      <c r="U120">
        <v>0.1</v>
      </c>
      <c r="V120">
        <v>1</v>
      </c>
      <c r="W120">
        <v>0.2</v>
      </c>
      <c r="X120">
        <v>2016</v>
      </c>
      <c r="Y120">
        <v>2</v>
      </c>
      <c r="Z120" t="s">
        <v>162</v>
      </c>
    </row>
    <row r="121" spans="1:26" x14ac:dyDescent="0.35">
      <c r="A121">
        <v>1162</v>
      </c>
      <c r="B121" t="s">
        <v>821</v>
      </c>
      <c r="C121" s="1">
        <v>41648</v>
      </c>
      <c r="D121" s="1">
        <v>41768</v>
      </c>
      <c r="E121">
        <v>120</v>
      </c>
      <c r="F121" t="s">
        <v>822</v>
      </c>
      <c r="G121" t="s">
        <v>823</v>
      </c>
      <c r="H121" t="s">
        <v>29</v>
      </c>
      <c r="I121" t="s">
        <v>30</v>
      </c>
      <c r="J121" t="s">
        <v>31</v>
      </c>
      <c r="K121" t="s">
        <v>205</v>
      </c>
      <c r="L121" t="s">
        <v>824</v>
      </c>
      <c r="M121" t="s">
        <v>47</v>
      </c>
      <c r="N121" t="s">
        <v>825</v>
      </c>
      <c r="O121" t="s">
        <v>826</v>
      </c>
      <c r="P121" t="s">
        <v>50</v>
      </c>
      <c r="Q121" t="s">
        <v>74</v>
      </c>
      <c r="R121" t="s">
        <v>827</v>
      </c>
      <c r="S121">
        <v>53.94</v>
      </c>
      <c r="T121">
        <v>15.6426</v>
      </c>
      <c r="U121">
        <v>0.29000000000000004</v>
      </c>
      <c r="V121">
        <v>3</v>
      </c>
      <c r="W121">
        <v>0</v>
      </c>
      <c r="X121">
        <v>2014</v>
      </c>
      <c r="Y121">
        <v>1</v>
      </c>
      <c r="Z121" t="s">
        <v>147</v>
      </c>
    </row>
    <row r="122" spans="1:26" x14ac:dyDescent="0.35">
      <c r="A122">
        <v>1163</v>
      </c>
      <c r="B122" t="s">
        <v>828</v>
      </c>
      <c r="C122" s="1">
        <v>41701</v>
      </c>
      <c r="D122" s="1">
        <v>41854</v>
      </c>
      <c r="E122">
        <v>153</v>
      </c>
      <c r="F122" t="s">
        <v>829</v>
      </c>
      <c r="G122" t="s">
        <v>830</v>
      </c>
      <c r="H122" t="s">
        <v>107</v>
      </c>
      <c r="I122" t="s">
        <v>44</v>
      </c>
      <c r="J122" t="s">
        <v>31</v>
      </c>
      <c r="K122" t="s">
        <v>124</v>
      </c>
      <c r="L122" t="s">
        <v>125</v>
      </c>
      <c r="M122" t="s">
        <v>126</v>
      </c>
      <c r="N122" t="s">
        <v>667</v>
      </c>
      <c r="O122" t="s">
        <v>831</v>
      </c>
      <c r="P122" t="s">
        <v>64</v>
      </c>
      <c r="Q122" t="s">
        <v>65</v>
      </c>
      <c r="R122" t="s">
        <v>832</v>
      </c>
      <c r="S122">
        <v>9.99</v>
      </c>
      <c r="T122">
        <v>4.5953999999999997</v>
      </c>
      <c r="U122">
        <v>0.45999999999999996</v>
      </c>
      <c r="V122">
        <v>1</v>
      </c>
      <c r="W122">
        <v>0</v>
      </c>
      <c r="X122">
        <v>2014</v>
      </c>
      <c r="Y122">
        <v>3</v>
      </c>
      <c r="Z122" t="s">
        <v>103</v>
      </c>
    </row>
    <row r="123" spans="1:26" x14ac:dyDescent="0.35">
      <c r="A123">
        <v>1168</v>
      </c>
      <c r="B123" t="s">
        <v>833</v>
      </c>
      <c r="C123" s="1">
        <v>42959</v>
      </c>
      <c r="D123" s="1">
        <v>43020</v>
      </c>
      <c r="E123">
        <v>61</v>
      </c>
      <c r="F123" t="s">
        <v>834</v>
      </c>
      <c r="G123" t="s">
        <v>835</v>
      </c>
      <c r="H123" t="s">
        <v>29</v>
      </c>
      <c r="I123" t="s">
        <v>30</v>
      </c>
      <c r="J123" t="s">
        <v>31</v>
      </c>
      <c r="K123" t="s">
        <v>124</v>
      </c>
      <c r="L123" t="s">
        <v>125</v>
      </c>
      <c r="M123" t="s">
        <v>126</v>
      </c>
      <c r="N123" t="s">
        <v>667</v>
      </c>
      <c r="O123" t="s">
        <v>836</v>
      </c>
      <c r="P123" t="s">
        <v>37</v>
      </c>
      <c r="Q123" t="s">
        <v>129</v>
      </c>
      <c r="R123" t="s">
        <v>837</v>
      </c>
      <c r="S123">
        <v>109.48</v>
      </c>
      <c r="T123">
        <v>33.938800000000001</v>
      </c>
      <c r="U123">
        <v>0.31</v>
      </c>
      <c r="V123">
        <v>2</v>
      </c>
      <c r="W123">
        <v>0</v>
      </c>
      <c r="X123">
        <v>2017</v>
      </c>
      <c r="Y123">
        <v>8</v>
      </c>
      <c r="Z123" t="s">
        <v>40</v>
      </c>
    </row>
    <row r="124" spans="1:26" x14ac:dyDescent="0.35">
      <c r="A124">
        <v>1178</v>
      </c>
      <c r="B124" t="s">
        <v>838</v>
      </c>
      <c r="C124" s="1">
        <v>42381</v>
      </c>
      <c r="D124" s="1">
        <v>42502</v>
      </c>
      <c r="E124">
        <v>121</v>
      </c>
      <c r="F124" t="s">
        <v>839</v>
      </c>
      <c r="G124" t="s">
        <v>840</v>
      </c>
      <c r="H124" t="s">
        <v>29</v>
      </c>
      <c r="I124" t="s">
        <v>44</v>
      </c>
      <c r="J124" t="s">
        <v>31</v>
      </c>
      <c r="K124" t="s">
        <v>841</v>
      </c>
      <c r="L124" t="s">
        <v>842</v>
      </c>
      <c r="M124" t="s">
        <v>126</v>
      </c>
      <c r="N124" t="s">
        <v>843</v>
      </c>
      <c r="O124" t="s">
        <v>844</v>
      </c>
      <c r="P124" t="s">
        <v>37</v>
      </c>
      <c r="Q124" t="s">
        <v>320</v>
      </c>
      <c r="R124" t="s">
        <v>845</v>
      </c>
      <c r="S124">
        <v>172.5</v>
      </c>
      <c r="T124">
        <v>51.75</v>
      </c>
      <c r="U124">
        <v>0.3</v>
      </c>
      <c r="V124">
        <v>2</v>
      </c>
      <c r="W124">
        <v>0</v>
      </c>
      <c r="X124">
        <v>2016</v>
      </c>
      <c r="Y124">
        <v>1</v>
      </c>
      <c r="Z124" t="s">
        <v>147</v>
      </c>
    </row>
    <row r="125" spans="1:26" x14ac:dyDescent="0.35">
      <c r="A125">
        <v>1198</v>
      </c>
      <c r="B125" t="s">
        <v>846</v>
      </c>
      <c r="C125" s="1">
        <v>42586</v>
      </c>
      <c r="D125" s="1">
        <v>42708</v>
      </c>
      <c r="E125">
        <v>122</v>
      </c>
      <c r="F125" t="s">
        <v>847</v>
      </c>
      <c r="G125" t="s">
        <v>848</v>
      </c>
      <c r="H125" t="s">
        <v>29</v>
      </c>
      <c r="I125" t="s">
        <v>44</v>
      </c>
      <c r="J125" t="s">
        <v>31</v>
      </c>
      <c r="K125" t="s">
        <v>59</v>
      </c>
      <c r="L125" t="s">
        <v>89</v>
      </c>
      <c r="M125" t="s">
        <v>61</v>
      </c>
      <c r="N125" t="s">
        <v>90</v>
      </c>
      <c r="O125" t="s">
        <v>849</v>
      </c>
      <c r="P125" t="s">
        <v>64</v>
      </c>
      <c r="Q125" t="s">
        <v>288</v>
      </c>
      <c r="R125" t="s">
        <v>850</v>
      </c>
      <c r="S125">
        <v>431.928</v>
      </c>
      <c r="T125">
        <v>64.789199999999994</v>
      </c>
      <c r="U125">
        <v>0.15</v>
      </c>
      <c r="V125">
        <v>9</v>
      </c>
      <c r="W125">
        <v>0.2</v>
      </c>
      <c r="X125">
        <v>2016</v>
      </c>
      <c r="Y125">
        <v>8</v>
      </c>
      <c r="Z125" t="s">
        <v>40</v>
      </c>
    </row>
    <row r="126" spans="1:26" x14ac:dyDescent="0.35">
      <c r="A126">
        <v>1206</v>
      </c>
      <c r="B126" t="s">
        <v>851</v>
      </c>
      <c r="C126" s="1">
        <v>42743</v>
      </c>
      <c r="D126" s="1">
        <v>42833</v>
      </c>
      <c r="E126">
        <v>90</v>
      </c>
      <c r="F126" t="s">
        <v>852</v>
      </c>
      <c r="G126" t="s">
        <v>853</v>
      </c>
      <c r="H126" t="s">
        <v>29</v>
      </c>
      <c r="I126" t="s">
        <v>58</v>
      </c>
      <c r="J126" t="s">
        <v>31</v>
      </c>
      <c r="K126" t="s">
        <v>97</v>
      </c>
      <c r="L126" t="s">
        <v>854</v>
      </c>
      <c r="M126" t="s">
        <v>34</v>
      </c>
      <c r="N126" t="s">
        <v>855</v>
      </c>
      <c r="O126" t="s">
        <v>856</v>
      </c>
      <c r="P126" t="s">
        <v>64</v>
      </c>
      <c r="Q126" t="s">
        <v>65</v>
      </c>
      <c r="R126" t="s">
        <v>857</v>
      </c>
      <c r="S126">
        <v>271.95999999999998</v>
      </c>
      <c r="T126">
        <v>16.997499999999999</v>
      </c>
      <c r="U126">
        <v>6.25E-2</v>
      </c>
      <c r="V126">
        <v>5</v>
      </c>
      <c r="W126">
        <v>0.2</v>
      </c>
      <c r="X126">
        <v>2017</v>
      </c>
      <c r="Y126">
        <v>1</v>
      </c>
      <c r="Z126" t="s">
        <v>147</v>
      </c>
    </row>
    <row r="127" spans="1:26" x14ac:dyDescent="0.35">
      <c r="A127">
        <v>1253</v>
      </c>
      <c r="B127" t="s">
        <v>858</v>
      </c>
      <c r="C127" s="1">
        <v>42101</v>
      </c>
      <c r="D127" s="1">
        <v>42254</v>
      </c>
      <c r="E127">
        <v>153</v>
      </c>
      <c r="F127" t="s">
        <v>42</v>
      </c>
      <c r="G127" t="s">
        <v>43</v>
      </c>
      <c r="H127" t="s">
        <v>29</v>
      </c>
      <c r="I127" t="s">
        <v>44</v>
      </c>
      <c r="J127" t="s">
        <v>31</v>
      </c>
      <c r="K127" t="s">
        <v>197</v>
      </c>
      <c r="L127" t="s">
        <v>859</v>
      </c>
      <c r="M127" t="s">
        <v>61</v>
      </c>
      <c r="N127" t="s">
        <v>860</v>
      </c>
      <c r="O127" t="s">
        <v>861</v>
      </c>
      <c r="P127" t="s">
        <v>64</v>
      </c>
      <c r="Q127" t="s">
        <v>65</v>
      </c>
      <c r="R127" t="s">
        <v>862</v>
      </c>
      <c r="S127">
        <v>1099.96</v>
      </c>
      <c r="T127">
        <v>285.9896</v>
      </c>
      <c r="U127">
        <v>0.26</v>
      </c>
      <c r="V127">
        <v>4</v>
      </c>
      <c r="W127">
        <v>0</v>
      </c>
      <c r="X127">
        <v>2015</v>
      </c>
      <c r="Y127">
        <v>4</v>
      </c>
      <c r="Z127" t="s">
        <v>85</v>
      </c>
    </row>
    <row r="128" spans="1:26" x14ac:dyDescent="0.35">
      <c r="A128">
        <v>1266</v>
      </c>
      <c r="B128" t="s">
        <v>863</v>
      </c>
      <c r="C128" s="1">
        <v>42775</v>
      </c>
      <c r="D128" s="1">
        <v>42925</v>
      </c>
      <c r="E128">
        <v>150</v>
      </c>
      <c r="F128" t="s">
        <v>864</v>
      </c>
      <c r="G128" t="s">
        <v>865</v>
      </c>
      <c r="H128" t="s">
        <v>29</v>
      </c>
      <c r="I128" t="s">
        <v>44</v>
      </c>
      <c r="J128" t="s">
        <v>31</v>
      </c>
      <c r="K128" t="s">
        <v>205</v>
      </c>
      <c r="L128" t="s">
        <v>371</v>
      </c>
      <c r="M128" t="s">
        <v>47</v>
      </c>
      <c r="N128" t="s">
        <v>691</v>
      </c>
      <c r="O128" t="s">
        <v>866</v>
      </c>
      <c r="P128" t="s">
        <v>50</v>
      </c>
      <c r="Q128" t="s">
        <v>74</v>
      </c>
      <c r="R128" t="s">
        <v>867</v>
      </c>
      <c r="S128">
        <v>6.57</v>
      </c>
      <c r="T128">
        <v>1.7739</v>
      </c>
      <c r="U128">
        <v>0.27</v>
      </c>
      <c r="V128">
        <v>3</v>
      </c>
      <c r="W128">
        <v>0</v>
      </c>
      <c r="X128">
        <v>2017</v>
      </c>
      <c r="Y128">
        <v>2</v>
      </c>
      <c r="Z128" t="s">
        <v>162</v>
      </c>
    </row>
    <row r="129" spans="1:26" x14ac:dyDescent="0.35">
      <c r="A129">
        <v>1270</v>
      </c>
      <c r="B129" t="s">
        <v>868</v>
      </c>
      <c r="C129" s="1">
        <v>42831</v>
      </c>
      <c r="D129" s="1">
        <v>42953</v>
      </c>
      <c r="E129">
        <v>122</v>
      </c>
      <c r="F129" t="s">
        <v>869</v>
      </c>
      <c r="G129" t="s">
        <v>870</v>
      </c>
      <c r="H129" t="s">
        <v>29</v>
      </c>
      <c r="I129" t="s">
        <v>44</v>
      </c>
      <c r="J129" t="s">
        <v>31</v>
      </c>
      <c r="K129" t="s">
        <v>871</v>
      </c>
      <c r="L129" t="s">
        <v>872</v>
      </c>
      <c r="M129" t="s">
        <v>34</v>
      </c>
      <c r="N129" t="s">
        <v>873</v>
      </c>
      <c r="O129" t="s">
        <v>874</v>
      </c>
      <c r="P129" t="s">
        <v>50</v>
      </c>
      <c r="Q129" t="s">
        <v>83</v>
      </c>
      <c r="R129" t="s">
        <v>875</v>
      </c>
      <c r="S129">
        <v>12.48</v>
      </c>
      <c r="T129">
        <v>5.6159999999999997</v>
      </c>
      <c r="U129">
        <v>0.44999999999999996</v>
      </c>
      <c r="V129">
        <v>2</v>
      </c>
      <c r="W129">
        <v>0</v>
      </c>
      <c r="X129">
        <v>2017</v>
      </c>
      <c r="Y129">
        <v>4</v>
      </c>
      <c r="Z129" t="s">
        <v>85</v>
      </c>
    </row>
    <row r="130" spans="1:26" x14ac:dyDescent="0.35">
      <c r="A130">
        <v>1278</v>
      </c>
      <c r="B130" t="s">
        <v>876</v>
      </c>
      <c r="C130" s="1">
        <v>42405</v>
      </c>
      <c r="D130" s="1">
        <v>42556</v>
      </c>
      <c r="E130">
        <v>151</v>
      </c>
      <c r="F130" t="s">
        <v>877</v>
      </c>
      <c r="G130" t="s">
        <v>878</v>
      </c>
      <c r="H130" t="s">
        <v>29</v>
      </c>
      <c r="I130" t="s">
        <v>44</v>
      </c>
      <c r="J130" t="s">
        <v>31</v>
      </c>
      <c r="K130" t="s">
        <v>59</v>
      </c>
      <c r="L130" t="s">
        <v>89</v>
      </c>
      <c r="M130" t="s">
        <v>61</v>
      </c>
      <c r="N130" t="s">
        <v>879</v>
      </c>
      <c r="O130" t="s">
        <v>880</v>
      </c>
      <c r="P130" t="s">
        <v>50</v>
      </c>
      <c r="Q130" t="s">
        <v>74</v>
      </c>
      <c r="R130" t="s">
        <v>881</v>
      </c>
      <c r="S130">
        <v>86.352000000000004</v>
      </c>
      <c r="T130">
        <v>5.3970000000000002</v>
      </c>
      <c r="U130">
        <v>6.25E-2</v>
      </c>
      <c r="V130">
        <v>3</v>
      </c>
      <c r="W130">
        <v>0.2</v>
      </c>
      <c r="X130">
        <v>2016</v>
      </c>
      <c r="Y130">
        <v>2</v>
      </c>
      <c r="Z130" t="s">
        <v>162</v>
      </c>
    </row>
    <row r="131" spans="1:26" x14ac:dyDescent="0.35">
      <c r="A131">
        <v>1279</v>
      </c>
      <c r="B131" t="s">
        <v>882</v>
      </c>
      <c r="C131" s="1">
        <v>41860</v>
      </c>
      <c r="D131" s="1">
        <v>41952</v>
      </c>
      <c r="E131">
        <v>92</v>
      </c>
      <c r="F131" t="s">
        <v>883</v>
      </c>
      <c r="G131" t="s">
        <v>884</v>
      </c>
      <c r="H131" t="s">
        <v>57</v>
      </c>
      <c r="I131" t="s">
        <v>58</v>
      </c>
      <c r="J131" t="s">
        <v>31</v>
      </c>
      <c r="K131" t="s">
        <v>345</v>
      </c>
      <c r="L131" t="s">
        <v>885</v>
      </c>
      <c r="M131" t="s">
        <v>34</v>
      </c>
      <c r="N131" t="s">
        <v>886</v>
      </c>
      <c r="O131" t="s">
        <v>887</v>
      </c>
      <c r="P131" t="s">
        <v>64</v>
      </c>
      <c r="Q131" t="s">
        <v>288</v>
      </c>
      <c r="R131" t="s">
        <v>888</v>
      </c>
      <c r="S131">
        <v>32.97</v>
      </c>
      <c r="T131">
        <v>12.8583</v>
      </c>
      <c r="U131">
        <v>0.39</v>
      </c>
      <c r="V131">
        <v>3</v>
      </c>
      <c r="W131">
        <v>0</v>
      </c>
      <c r="X131">
        <v>2014</v>
      </c>
      <c r="Y131">
        <v>8</v>
      </c>
      <c r="Z131" t="s">
        <v>40</v>
      </c>
    </row>
    <row r="132" spans="1:26" x14ac:dyDescent="0.35">
      <c r="A132">
        <v>1281</v>
      </c>
      <c r="B132" t="s">
        <v>889</v>
      </c>
      <c r="C132" s="1">
        <v>42499</v>
      </c>
      <c r="D132" s="1">
        <v>42530</v>
      </c>
      <c r="E132">
        <v>31</v>
      </c>
      <c r="F132" t="s">
        <v>890</v>
      </c>
      <c r="G132" t="s">
        <v>891</v>
      </c>
      <c r="H132" t="s">
        <v>29</v>
      </c>
      <c r="I132" t="s">
        <v>58</v>
      </c>
      <c r="J132" t="s">
        <v>31</v>
      </c>
      <c r="K132" t="s">
        <v>151</v>
      </c>
      <c r="L132" t="s">
        <v>892</v>
      </c>
      <c r="M132" t="s">
        <v>61</v>
      </c>
      <c r="N132" t="s">
        <v>893</v>
      </c>
      <c r="O132" t="s">
        <v>894</v>
      </c>
      <c r="P132" t="s">
        <v>64</v>
      </c>
      <c r="Q132" t="s">
        <v>65</v>
      </c>
      <c r="R132" t="s">
        <v>895</v>
      </c>
      <c r="S132">
        <v>278.39999999999998</v>
      </c>
      <c r="T132">
        <v>80.736000000000004</v>
      </c>
      <c r="U132">
        <v>0.29000000000000004</v>
      </c>
      <c r="V132">
        <v>3</v>
      </c>
      <c r="W132">
        <v>0</v>
      </c>
      <c r="X132">
        <v>2016</v>
      </c>
      <c r="Y132">
        <v>5</v>
      </c>
      <c r="Z132" t="s">
        <v>53</v>
      </c>
    </row>
    <row r="133" spans="1:26" x14ac:dyDescent="0.35">
      <c r="A133">
        <v>1282</v>
      </c>
      <c r="B133" t="s">
        <v>896</v>
      </c>
      <c r="C133" s="1">
        <v>42982</v>
      </c>
      <c r="D133" s="1">
        <v>43043</v>
      </c>
      <c r="E133">
        <v>61</v>
      </c>
      <c r="F133" t="s">
        <v>897</v>
      </c>
      <c r="G133" t="s">
        <v>898</v>
      </c>
      <c r="H133" t="s">
        <v>29</v>
      </c>
      <c r="I133" t="s">
        <v>58</v>
      </c>
      <c r="J133" t="s">
        <v>31</v>
      </c>
      <c r="K133" t="s">
        <v>272</v>
      </c>
      <c r="L133" t="s">
        <v>471</v>
      </c>
      <c r="M133" t="s">
        <v>34</v>
      </c>
      <c r="N133" t="s">
        <v>472</v>
      </c>
      <c r="O133" t="s">
        <v>899</v>
      </c>
      <c r="P133" t="s">
        <v>50</v>
      </c>
      <c r="Q133" t="s">
        <v>267</v>
      </c>
      <c r="R133" t="s">
        <v>900</v>
      </c>
      <c r="S133">
        <v>15.12</v>
      </c>
      <c r="T133">
        <v>4.9139999999999997</v>
      </c>
      <c r="U133">
        <v>0.32500000000000001</v>
      </c>
      <c r="V133">
        <v>3</v>
      </c>
      <c r="W133">
        <v>0.2</v>
      </c>
      <c r="X133">
        <v>2017</v>
      </c>
      <c r="Y133">
        <v>9</v>
      </c>
      <c r="Z133" t="s">
        <v>93</v>
      </c>
    </row>
    <row r="134" spans="1:26" x14ac:dyDescent="0.35">
      <c r="A134">
        <v>1285</v>
      </c>
      <c r="B134" t="s">
        <v>901</v>
      </c>
      <c r="C134" s="1">
        <v>42167</v>
      </c>
      <c r="D134" s="1">
        <v>42350</v>
      </c>
      <c r="E134">
        <v>183</v>
      </c>
      <c r="F134" t="s">
        <v>902</v>
      </c>
      <c r="G134" t="s">
        <v>903</v>
      </c>
      <c r="H134" t="s">
        <v>29</v>
      </c>
      <c r="I134" t="s">
        <v>44</v>
      </c>
      <c r="J134" t="s">
        <v>31</v>
      </c>
      <c r="K134" t="s">
        <v>59</v>
      </c>
      <c r="L134" t="s">
        <v>904</v>
      </c>
      <c r="M134" t="s">
        <v>61</v>
      </c>
      <c r="N134" t="s">
        <v>905</v>
      </c>
      <c r="O134" t="s">
        <v>906</v>
      </c>
      <c r="P134" t="s">
        <v>50</v>
      </c>
      <c r="Q134" t="s">
        <v>51</v>
      </c>
      <c r="R134" t="s">
        <v>907</v>
      </c>
      <c r="S134">
        <v>2.7719999999999998</v>
      </c>
      <c r="T134">
        <v>-4.851</v>
      </c>
      <c r="U134">
        <v>-1.7500000000000002</v>
      </c>
      <c r="V134">
        <v>7</v>
      </c>
      <c r="W134">
        <v>0.8</v>
      </c>
      <c r="X134">
        <v>2015</v>
      </c>
      <c r="Y134">
        <v>6</v>
      </c>
      <c r="Z134" t="s">
        <v>120</v>
      </c>
    </row>
    <row r="135" spans="1:26" x14ac:dyDescent="0.35">
      <c r="A135">
        <v>1287</v>
      </c>
      <c r="B135" t="s">
        <v>908</v>
      </c>
      <c r="C135" s="1">
        <v>42101</v>
      </c>
      <c r="D135" s="1">
        <v>42223</v>
      </c>
      <c r="E135">
        <v>122</v>
      </c>
      <c r="F135" t="s">
        <v>909</v>
      </c>
      <c r="G135" t="s">
        <v>910</v>
      </c>
      <c r="H135" t="s">
        <v>107</v>
      </c>
      <c r="I135" t="s">
        <v>44</v>
      </c>
      <c r="J135" t="s">
        <v>31</v>
      </c>
      <c r="K135" t="s">
        <v>124</v>
      </c>
      <c r="L135" t="s">
        <v>125</v>
      </c>
      <c r="M135" t="s">
        <v>126</v>
      </c>
      <c r="N135" t="s">
        <v>667</v>
      </c>
      <c r="O135" t="s">
        <v>911</v>
      </c>
      <c r="P135" t="s">
        <v>50</v>
      </c>
      <c r="Q135" t="s">
        <v>74</v>
      </c>
      <c r="R135" t="s">
        <v>912</v>
      </c>
      <c r="S135">
        <v>15.48</v>
      </c>
      <c r="T135">
        <v>4.4892000000000003</v>
      </c>
      <c r="U135">
        <v>0.29000000000000004</v>
      </c>
      <c r="V135">
        <v>3</v>
      </c>
      <c r="W135">
        <v>0</v>
      </c>
      <c r="X135">
        <v>2015</v>
      </c>
      <c r="Y135">
        <v>4</v>
      </c>
      <c r="Z135" t="s">
        <v>85</v>
      </c>
    </row>
    <row r="136" spans="1:26" x14ac:dyDescent="0.35">
      <c r="A136">
        <v>1291</v>
      </c>
      <c r="B136" t="s">
        <v>913</v>
      </c>
      <c r="C136" s="1">
        <v>42654</v>
      </c>
      <c r="D136" s="1">
        <v>42715</v>
      </c>
      <c r="E136">
        <v>61</v>
      </c>
      <c r="F136" t="s">
        <v>914</v>
      </c>
      <c r="G136" t="s">
        <v>915</v>
      </c>
      <c r="H136" t="s">
        <v>107</v>
      </c>
      <c r="I136" t="s">
        <v>58</v>
      </c>
      <c r="J136" t="s">
        <v>31</v>
      </c>
      <c r="K136" t="s">
        <v>205</v>
      </c>
      <c r="L136" t="s">
        <v>371</v>
      </c>
      <c r="M136" t="s">
        <v>47</v>
      </c>
      <c r="N136" t="s">
        <v>691</v>
      </c>
      <c r="O136" t="s">
        <v>916</v>
      </c>
      <c r="P136" t="s">
        <v>50</v>
      </c>
      <c r="Q136" t="s">
        <v>51</v>
      </c>
      <c r="R136" t="s">
        <v>917</v>
      </c>
      <c r="S136">
        <v>13.215999999999999</v>
      </c>
      <c r="T136">
        <v>4.4603999999999999</v>
      </c>
      <c r="U136">
        <v>0.33750000000000002</v>
      </c>
      <c r="V136">
        <v>4</v>
      </c>
      <c r="W136">
        <v>0.2</v>
      </c>
      <c r="X136">
        <v>2016</v>
      </c>
      <c r="Y136">
        <v>10</v>
      </c>
      <c r="Z136" t="s">
        <v>694</v>
      </c>
    </row>
    <row r="137" spans="1:26" x14ac:dyDescent="0.35">
      <c r="A137">
        <v>1300</v>
      </c>
      <c r="B137" t="s">
        <v>918</v>
      </c>
      <c r="C137" s="1">
        <v>42104</v>
      </c>
      <c r="D137" s="1">
        <v>42195</v>
      </c>
      <c r="E137">
        <v>91</v>
      </c>
      <c r="F137" t="s">
        <v>919</v>
      </c>
      <c r="G137" t="s">
        <v>920</v>
      </c>
      <c r="H137" t="s">
        <v>29</v>
      </c>
      <c r="I137" t="s">
        <v>58</v>
      </c>
      <c r="J137" t="s">
        <v>31</v>
      </c>
      <c r="K137" t="s">
        <v>205</v>
      </c>
      <c r="L137" t="s">
        <v>371</v>
      </c>
      <c r="M137" t="s">
        <v>47</v>
      </c>
      <c r="N137" t="s">
        <v>921</v>
      </c>
      <c r="O137" t="s">
        <v>922</v>
      </c>
      <c r="P137" t="s">
        <v>50</v>
      </c>
      <c r="Q137" t="s">
        <v>110</v>
      </c>
      <c r="R137" t="s">
        <v>923</v>
      </c>
      <c r="S137">
        <v>26.96</v>
      </c>
      <c r="T137">
        <v>7.0095999999999998</v>
      </c>
      <c r="U137">
        <v>0.26</v>
      </c>
      <c r="V137">
        <v>2</v>
      </c>
      <c r="W137">
        <v>0</v>
      </c>
      <c r="X137">
        <v>2015</v>
      </c>
      <c r="Y137">
        <v>4</v>
      </c>
      <c r="Z137" t="s">
        <v>85</v>
      </c>
    </row>
    <row r="138" spans="1:26" x14ac:dyDescent="0.35">
      <c r="A138">
        <v>1304</v>
      </c>
      <c r="B138" t="s">
        <v>924</v>
      </c>
      <c r="C138" s="1">
        <v>42801</v>
      </c>
      <c r="D138" s="1">
        <v>42923</v>
      </c>
      <c r="E138">
        <v>122</v>
      </c>
      <c r="F138" t="s">
        <v>925</v>
      </c>
      <c r="G138" t="s">
        <v>926</v>
      </c>
      <c r="H138" t="s">
        <v>29</v>
      </c>
      <c r="I138" t="s">
        <v>44</v>
      </c>
      <c r="J138" t="s">
        <v>31</v>
      </c>
      <c r="K138" t="s">
        <v>345</v>
      </c>
      <c r="L138" t="s">
        <v>182</v>
      </c>
      <c r="M138" t="s">
        <v>34</v>
      </c>
      <c r="N138" t="s">
        <v>346</v>
      </c>
      <c r="O138" t="s">
        <v>927</v>
      </c>
      <c r="P138" t="s">
        <v>37</v>
      </c>
      <c r="Q138" t="s">
        <v>129</v>
      </c>
      <c r="R138" t="s">
        <v>928</v>
      </c>
      <c r="S138">
        <v>23.99</v>
      </c>
      <c r="T138">
        <v>5.5176999999999996</v>
      </c>
      <c r="U138">
        <v>0.23</v>
      </c>
      <c r="V138">
        <v>1</v>
      </c>
      <c r="W138">
        <v>0</v>
      </c>
      <c r="X138">
        <v>2017</v>
      </c>
      <c r="Y138">
        <v>3</v>
      </c>
      <c r="Z138" t="s">
        <v>103</v>
      </c>
    </row>
    <row r="139" spans="1:26" x14ac:dyDescent="0.35">
      <c r="A139">
        <v>1323</v>
      </c>
      <c r="B139" t="s">
        <v>929</v>
      </c>
      <c r="C139" s="1">
        <v>42797</v>
      </c>
      <c r="D139" s="1">
        <v>42950</v>
      </c>
      <c r="E139">
        <v>153</v>
      </c>
      <c r="F139" t="s">
        <v>930</v>
      </c>
      <c r="G139" t="s">
        <v>931</v>
      </c>
      <c r="H139" t="s">
        <v>29</v>
      </c>
      <c r="I139" t="s">
        <v>44</v>
      </c>
      <c r="J139" t="s">
        <v>31</v>
      </c>
      <c r="K139" t="s">
        <v>32</v>
      </c>
      <c r="L139" t="s">
        <v>932</v>
      </c>
      <c r="M139" t="s">
        <v>34</v>
      </c>
      <c r="N139" t="s">
        <v>933</v>
      </c>
      <c r="O139" t="s">
        <v>934</v>
      </c>
      <c r="P139" t="s">
        <v>50</v>
      </c>
      <c r="Q139" t="s">
        <v>138</v>
      </c>
      <c r="R139" t="s">
        <v>935</v>
      </c>
      <c r="S139">
        <v>72.8</v>
      </c>
      <c r="T139">
        <v>19.655999999999999</v>
      </c>
      <c r="U139">
        <v>0.27</v>
      </c>
      <c r="V139">
        <v>5</v>
      </c>
      <c r="W139">
        <v>0</v>
      </c>
      <c r="X139">
        <v>2017</v>
      </c>
      <c r="Y139">
        <v>3</v>
      </c>
      <c r="Z139" t="s">
        <v>103</v>
      </c>
    </row>
    <row r="140" spans="1:26" x14ac:dyDescent="0.35">
      <c r="A140">
        <v>1324</v>
      </c>
      <c r="B140" t="s">
        <v>936</v>
      </c>
      <c r="C140" s="1">
        <v>42988</v>
      </c>
      <c r="D140" s="1">
        <v>43018</v>
      </c>
      <c r="E140">
        <v>30</v>
      </c>
      <c r="F140" t="s">
        <v>937</v>
      </c>
      <c r="G140" t="s">
        <v>938</v>
      </c>
      <c r="H140" t="s">
        <v>29</v>
      </c>
      <c r="I140" t="s">
        <v>58</v>
      </c>
      <c r="J140" t="s">
        <v>31</v>
      </c>
      <c r="K140" t="s">
        <v>97</v>
      </c>
      <c r="L140" t="s">
        <v>478</v>
      </c>
      <c r="M140" t="s">
        <v>34</v>
      </c>
      <c r="N140" t="s">
        <v>479</v>
      </c>
      <c r="O140" t="s">
        <v>939</v>
      </c>
      <c r="P140" t="s">
        <v>50</v>
      </c>
      <c r="Q140" t="s">
        <v>83</v>
      </c>
      <c r="R140" t="s">
        <v>940</v>
      </c>
      <c r="S140">
        <v>10.816000000000001</v>
      </c>
      <c r="T140">
        <v>3.5152000000000001</v>
      </c>
      <c r="U140">
        <v>0.32500000000000001</v>
      </c>
      <c r="V140">
        <v>4</v>
      </c>
      <c r="W140">
        <v>0.2</v>
      </c>
      <c r="X140">
        <v>2017</v>
      </c>
      <c r="Y140">
        <v>9</v>
      </c>
      <c r="Z140" t="s">
        <v>93</v>
      </c>
    </row>
    <row r="141" spans="1:26" x14ac:dyDescent="0.35">
      <c r="A141">
        <v>1331</v>
      </c>
      <c r="B141" t="s">
        <v>941</v>
      </c>
      <c r="C141" s="1">
        <v>42772</v>
      </c>
      <c r="D141" s="1">
        <v>42892</v>
      </c>
      <c r="E141">
        <v>120</v>
      </c>
      <c r="F141" t="s">
        <v>942</v>
      </c>
      <c r="G141" t="s">
        <v>943</v>
      </c>
      <c r="H141" t="s">
        <v>107</v>
      </c>
      <c r="I141" t="s">
        <v>44</v>
      </c>
      <c r="J141" t="s">
        <v>31</v>
      </c>
      <c r="K141" t="s">
        <v>181</v>
      </c>
      <c r="L141" t="s">
        <v>653</v>
      </c>
      <c r="M141" t="s">
        <v>126</v>
      </c>
      <c r="N141" t="s">
        <v>654</v>
      </c>
      <c r="O141" t="s">
        <v>944</v>
      </c>
      <c r="P141" t="s">
        <v>64</v>
      </c>
      <c r="Q141" t="s">
        <v>65</v>
      </c>
      <c r="R141" t="s">
        <v>945</v>
      </c>
      <c r="S141">
        <v>2.97</v>
      </c>
      <c r="T141">
        <v>-0.64349999999999996</v>
      </c>
      <c r="U141">
        <v>-0.21666666666666665</v>
      </c>
      <c r="V141">
        <v>1</v>
      </c>
      <c r="W141">
        <v>0.4</v>
      </c>
      <c r="X141">
        <v>2017</v>
      </c>
      <c r="Y141">
        <v>2</v>
      </c>
      <c r="Z141" t="s">
        <v>162</v>
      </c>
    </row>
    <row r="142" spans="1:26" x14ac:dyDescent="0.35">
      <c r="A142">
        <v>1335</v>
      </c>
      <c r="B142" t="s">
        <v>946</v>
      </c>
      <c r="C142" s="1">
        <v>41795</v>
      </c>
      <c r="D142" s="1">
        <v>41917</v>
      </c>
      <c r="E142">
        <v>122</v>
      </c>
      <c r="F142" t="s">
        <v>947</v>
      </c>
      <c r="G142" t="s">
        <v>948</v>
      </c>
      <c r="H142" t="s">
        <v>107</v>
      </c>
      <c r="I142" t="s">
        <v>44</v>
      </c>
      <c r="J142" t="s">
        <v>31</v>
      </c>
      <c r="K142" t="s">
        <v>205</v>
      </c>
      <c r="L142" t="s">
        <v>206</v>
      </c>
      <c r="M142" t="s">
        <v>47</v>
      </c>
      <c r="N142" t="s">
        <v>949</v>
      </c>
      <c r="O142" t="s">
        <v>950</v>
      </c>
      <c r="P142" t="s">
        <v>50</v>
      </c>
      <c r="Q142" t="s">
        <v>51</v>
      </c>
      <c r="R142" t="s">
        <v>951</v>
      </c>
      <c r="S142">
        <v>140.73599999999999</v>
      </c>
      <c r="T142">
        <v>52.776000000000003</v>
      </c>
      <c r="U142">
        <v>0.37500000000000006</v>
      </c>
      <c r="V142">
        <v>8</v>
      </c>
      <c r="W142">
        <v>0.2</v>
      </c>
      <c r="X142">
        <v>2014</v>
      </c>
      <c r="Y142">
        <v>6</v>
      </c>
      <c r="Z142" t="s">
        <v>120</v>
      </c>
    </row>
    <row r="143" spans="1:26" x14ac:dyDescent="0.35">
      <c r="A143">
        <v>1337</v>
      </c>
      <c r="B143" t="s">
        <v>952</v>
      </c>
      <c r="C143" s="1">
        <v>42770</v>
      </c>
      <c r="D143" s="1">
        <v>42920</v>
      </c>
      <c r="E143">
        <v>150</v>
      </c>
      <c r="F143" t="s">
        <v>953</v>
      </c>
      <c r="G143" t="s">
        <v>954</v>
      </c>
      <c r="H143" t="s">
        <v>29</v>
      </c>
      <c r="I143" t="s">
        <v>44</v>
      </c>
      <c r="J143" t="s">
        <v>31</v>
      </c>
      <c r="K143" t="s">
        <v>205</v>
      </c>
      <c r="L143" t="s">
        <v>206</v>
      </c>
      <c r="M143" t="s">
        <v>47</v>
      </c>
      <c r="N143" t="s">
        <v>491</v>
      </c>
      <c r="O143" t="s">
        <v>955</v>
      </c>
      <c r="P143" t="s">
        <v>37</v>
      </c>
      <c r="Q143" t="s">
        <v>129</v>
      </c>
      <c r="R143" t="s">
        <v>956</v>
      </c>
      <c r="S143">
        <v>25.11</v>
      </c>
      <c r="T143">
        <v>6.5286</v>
      </c>
      <c r="U143">
        <v>0.26</v>
      </c>
      <c r="V143">
        <v>3</v>
      </c>
      <c r="W143">
        <v>0</v>
      </c>
      <c r="X143">
        <v>2017</v>
      </c>
      <c r="Y143">
        <v>2</v>
      </c>
      <c r="Z143" t="s">
        <v>162</v>
      </c>
    </row>
    <row r="144" spans="1:26" x14ac:dyDescent="0.35">
      <c r="A144">
        <v>1341</v>
      </c>
      <c r="B144" t="s">
        <v>957</v>
      </c>
      <c r="C144" s="1">
        <v>42767</v>
      </c>
      <c r="D144" s="1">
        <v>42826</v>
      </c>
      <c r="E144">
        <v>59</v>
      </c>
      <c r="F144" t="s">
        <v>958</v>
      </c>
      <c r="G144" t="s">
        <v>959</v>
      </c>
      <c r="H144" t="s">
        <v>57</v>
      </c>
      <c r="I144" t="s">
        <v>58</v>
      </c>
      <c r="J144" t="s">
        <v>31</v>
      </c>
      <c r="K144" t="s">
        <v>97</v>
      </c>
      <c r="L144" t="s">
        <v>471</v>
      </c>
      <c r="M144" t="s">
        <v>34</v>
      </c>
      <c r="N144" t="s">
        <v>960</v>
      </c>
      <c r="O144" t="s">
        <v>961</v>
      </c>
      <c r="P144" t="s">
        <v>64</v>
      </c>
      <c r="Q144" t="s">
        <v>353</v>
      </c>
      <c r="R144" t="s">
        <v>962</v>
      </c>
      <c r="S144">
        <v>695.7</v>
      </c>
      <c r="T144">
        <v>-27.827999999999999</v>
      </c>
      <c r="U144">
        <v>-3.9999999999999994E-2</v>
      </c>
      <c r="V144">
        <v>2</v>
      </c>
      <c r="W144">
        <v>0.5</v>
      </c>
      <c r="X144">
        <v>2017</v>
      </c>
      <c r="Y144">
        <v>2</v>
      </c>
      <c r="Z144" t="s">
        <v>162</v>
      </c>
    </row>
    <row r="145" spans="1:26" x14ac:dyDescent="0.35">
      <c r="A145">
        <v>1351</v>
      </c>
      <c r="B145" t="s">
        <v>963</v>
      </c>
      <c r="C145" s="1">
        <v>41708</v>
      </c>
      <c r="D145" s="1">
        <v>41861</v>
      </c>
      <c r="E145">
        <v>153</v>
      </c>
      <c r="F145" t="s">
        <v>964</v>
      </c>
      <c r="G145" t="s">
        <v>965</v>
      </c>
      <c r="H145" t="s">
        <v>29</v>
      </c>
      <c r="I145" t="s">
        <v>30</v>
      </c>
      <c r="J145" t="s">
        <v>31</v>
      </c>
      <c r="K145" t="s">
        <v>234</v>
      </c>
      <c r="L145" t="s">
        <v>966</v>
      </c>
      <c r="M145" t="s">
        <v>61</v>
      </c>
      <c r="N145" t="s">
        <v>967</v>
      </c>
      <c r="O145" t="s">
        <v>968</v>
      </c>
      <c r="P145" t="s">
        <v>37</v>
      </c>
      <c r="Q145" t="s">
        <v>320</v>
      </c>
      <c r="R145" t="s">
        <v>969</v>
      </c>
      <c r="S145">
        <v>258.279</v>
      </c>
      <c r="T145">
        <v>-70.104299999999995</v>
      </c>
      <c r="U145">
        <v>-0.27142857142857141</v>
      </c>
      <c r="V145">
        <v>3</v>
      </c>
      <c r="W145">
        <v>0.3</v>
      </c>
      <c r="X145">
        <v>2014</v>
      </c>
      <c r="Y145">
        <v>3</v>
      </c>
      <c r="Z145" t="s">
        <v>103</v>
      </c>
    </row>
    <row r="146" spans="1:26" x14ac:dyDescent="0.35">
      <c r="A146">
        <v>1353</v>
      </c>
      <c r="B146" t="s">
        <v>970</v>
      </c>
      <c r="C146" s="1">
        <v>42830</v>
      </c>
      <c r="D146" s="1">
        <v>42983</v>
      </c>
      <c r="E146">
        <v>153</v>
      </c>
      <c r="F146" t="s">
        <v>971</v>
      </c>
      <c r="G146" t="s">
        <v>972</v>
      </c>
      <c r="H146" t="s">
        <v>57</v>
      </c>
      <c r="I146" t="s">
        <v>44</v>
      </c>
      <c r="J146" t="s">
        <v>31</v>
      </c>
      <c r="K146" t="s">
        <v>205</v>
      </c>
      <c r="L146" t="s">
        <v>371</v>
      </c>
      <c r="M146" t="s">
        <v>47</v>
      </c>
      <c r="N146" t="s">
        <v>921</v>
      </c>
      <c r="O146" t="s">
        <v>973</v>
      </c>
      <c r="P146" t="s">
        <v>64</v>
      </c>
      <c r="Q146" t="s">
        <v>65</v>
      </c>
      <c r="R146" t="s">
        <v>974</v>
      </c>
      <c r="S146">
        <v>183.96</v>
      </c>
      <c r="T146">
        <v>20.695499999999999</v>
      </c>
      <c r="U146">
        <v>0.11249999999999999</v>
      </c>
      <c r="V146">
        <v>5</v>
      </c>
      <c r="W146">
        <v>0.2</v>
      </c>
      <c r="X146">
        <v>2017</v>
      </c>
      <c r="Y146">
        <v>4</v>
      </c>
      <c r="Z146" t="s">
        <v>85</v>
      </c>
    </row>
    <row r="147" spans="1:26" x14ac:dyDescent="0.35">
      <c r="A147">
        <v>1358</v>
      </c>
      <c r="B147" t="s">
        <v>975</v>
      </c>
      <c r="C147" s="1">
        <v>42495</v>
      </c>
      <c r="D147" s="1">
        <v>42556</v>
      </c>
      <c r="E147">
        <v>61</v>
      </c>
      <c r="F147" t="s">
        <v>976</v>
      </c>
      <c r="G147" t="s">
        <v>977</v>
      </c>
      <c r="H147" t="s">
        <v>29</v>
      </c>
      <c r="I147" t="s">
        <v>58</v>
      </c>
      <c r="J147" t="s">
        <v>31</v>
      </c>
      <c r="K147" t="s">
        <v>32</v>
      </c>
      <c r="L147" t="s">
        <v>978</v>
      </c>
      <c r="M147" t="s">
        <v>34</v>
      </c>
      <c r="N147" t="s">
        <v>979</v>
      </c>
      <c r="O147" t="s">
        <v>980</v>
      </c>
      <c r="P147" t="s">
        <v>50</v>
      </c>
      <c r="Q147" t="s">
        <v>83</v>
      </c>
      <c r="R147" t="s">
        <v>981</v>
      </c>
      <c r="S147">
        <v>79.14</v>
      </c>
      <c r="T147">
        <v>36.404400000000003</v>
      </c>
      <c r="U147">
        <v>0.46</v>
      </c>
      <c r="V147">
        <v>3</v>
      </c>
      <c r="W147">
        <v>0</v>
      </c>
      <c r="X147">
        <v>2016</v>
      </c>
      <c r="Y147">
        <v>5</v>
      </c>
      <c r="Z147" t="s">
        <v>53</v>
      </c>
    </row>
    <row r="148" spans="1:26" x14ac:dyDescent="0.35">
      <c r="A148">
        <v>1372</v>
      </c>
      <c r="B148" t="s">
        <v>982</v>
      </c>
      <c r="C148" s="1">
        <v>42919</v>
      </c>
      <c r="D148" s="1">
        <v>43072</v>
      </c>
      <c r="E148">
        <v>153</v>
      </c>
      <c r="F148" t="s">
        <v>983</v>
      </c>
      <c r="G148" t="s">
        <v>984</v>
      </c>
      <c r="H148" t="s">
        <v>107</v>
      </c>
      <c r="I148" t="s">
        <v>44</v>
      </c>
      <c r="J148" t="s">
        <v>31</v>
      </c>
      <c r="K148" t="s">
        <v>841</v>
      </c>
      <c r="L148" t="s">
        <v>985</v>
      </c>
      <c r="M148" t="s">
        <v>126</v>
      </c>
      <c r="N148" t="s">
        <v>986</v>
      </c>
      <c r="O148" t="s">
        <v>987</v>
      </c>
      <c r="P148" t="s">
        <v>64</v>
      </c>
      <c r="Q148" t="s">
        <v>288</v>
      </c>
      <c r="R148" t="s">
        <v>988</v>
      </c>
      <c r="S148">
        <v>49.08</v>
      </c>
      <c r="T148">
        <v>4.9080000000000004</v>
      </c>
      <c r="U148">
        <v>0.1</v>
      </c>
      <c r="V148">
        <v>3</v>
      </c>
      <c r="W148">
        <v>0</v>
      </c>
      <c r="X148">
        <v>2017</v>
      </c>
      <c r="Y148">
        <v>7</v>
      </c>
      <c r="Z148" t="s">
        <v>217</v>
      </c>
    </row>
    <row r="149" spans="1:26" x14ac:dyDescent="0.35">
      <c r="A149">
        <v>1373</v>
      </c>
      <c r="B149" t="s">
        <v>989</v>
      </c>
      <c r="C149" s="1">
        <v>41643</v>
      </c>
      <c r="D149" s="1">
        <v>41794</v>
      </c>
      <c r="E149">
        <v>151</v>
      </c>
      <c r="F149" t="s">
        <v>990</v>
      </c>
      <c r="G149" t="s">
        <v>991</v>
      </c>
      <c r="H149" t="s">
        <v>29</v>
      </c>
      <c r="I149" t="s">
        <v>30</v>
      </c>
      <c r="J149" t="s">
        <v>31</v>
      </c>
      <c r="K149" t="s">
        <v>205</v>
      </c>
      <c r="L149" t="s">
        <v>992</v>
      </c>
      <c r="M149" t="s">
        <v>47</v>
      </c>
      <c r="N149" t="s">
        <v>993</v>
      </c>
      <c r="O149" t="s">
        <v>994</v>
      </c>
      <c r="P149" t="s">
        <v>50</v>
      </c>
      <c r="Q149" t="s">
        <v>267</v>
      </c>
      <c r="R149" t="s">
        <v>995</v>
      </c>
      <c r="S149">
        <v>29.6</v>
      </c>
      <c r="T149">
        <v>14.8</v>
      </c>
      <c r="U149">
        <v>0.5</v>
      </c>
      <c r="V149">
        <v>2</v>
      </c>
      <c r="W149">
        <v>0</v>
      </c>
      <c r="X149">
        <v>2014</v>
      </c>
      <c r="Y149">
        <v>1</v>
      </c>
      <c r="Z149" t="s">
        <v>147</v>
      </c>
    </row>
    <row r="150" spans="1:26" x14ac:dyDescent="0.35">
      <c r="A150">
        <v>1376</v>
      </c>
      <c r="B150" t="s">
        <v>996</v>
      </c>
      <c r="C150" s="1">
        <v>41737</v>
      </c>
      <c r="D150" s="1">
        <v>41890</v>
      </c>
      <c r="E150">
        <v>153</v>
      </c>
      <c r="F150" t="s">
        <v>997</v>
      </c>
      <c r="G150" t="s">
        <v>998</v>
      </c>
      <c r="H150" t="s">
        <v>29</v>
      </c>
      <c r="I150" t="s">
        <v>30</v>
      </c>
      <c r="J150" t="s">
        <v>31</v>
      </c>
      <c r="K150" t="s">
        <v>574</v>
      </c>
      <c r="L150" t="s">
        <v>999</v>
      </c>
      <c r="M150" t="s">
        <v>47</v>
      </c>
      <c r="N150" t="s">
        <v>1000</v>
      </c>
      <c r="O150" t="s">
        <v>1001</v>
      </c>
      <c r="P150" t="s">
        <v>50</v>
      </c>
      <c r="Q150" t="s">
        <v>138</v>
      </c>
      <c r="R150" t="s">
        <v>1002</v>
      </c>
      <c r="S150">
        <v>1089.75</v>
      </c>
      <c r="T150">
        <v>305.13</v>
      </c>
      <c r="U150">
        <v>0.27999999999999997</v>
      </c>
      <c r="V150">
        <v>3</v>
      </c>
      <c r="W150">
        <v>0</v>
      </c>
      <c r="X150">
        <v>2014</v>
      </c>
      <c r="Y150">
        <v>4</v>
      </c>
      <c r="Z150" t="s">
        <v>85</v>
      </c>
    </row>
    <row r="151" spans="1:26" x14ac:dyDescent="0.35">
      <c r="A151">
        <v>1383</v>
      </c>
      <c r="B151" t="s">
        <v>1003</v>
      </c>
      <c r="C151" s="1">
        <v>42492</v>
      </c>
      <c r="D151" s="1">
        <v>42492</v>
      </c>
      <c r="E151">
        <v>0</v>
      </c>
      <c r="F151" t="s">
        <v>1004</v>
      </c>
      <c r="G151" t="s">
        <v>1005</v>
      </c>
      <c r="H151" t="s">
        <v>107</v>
      </c>
      <c r="I151" t="s">
        <v>543</v>
      </c>
      <c r="J151" t="s">
        <v>31</v>
      </c>
      <c r="K151" t="s">
        <v>345</v>
      </c>
      <c r="L151" t="s">
        <v>1006</v>
      </c>
      <c r="M151" t="s">
        <v>34</v>
      </c>
      <c r="N151" t="s">
        <v>1007</v>
      </c>
      <c r="O151" t="s">
        <v>1008</v>
      </c>
      <c r="P151" t="s">
        <v>50</v>
      </c>
      <c r="Q151" t="s">
        <v>110</v>
      </c>
      <c r="R151" t="s">
        <v>1009</v>
      </c>
      <c r="S151">
        <v>80.98</v>
      </c>
      <c r="T151">
        <v>1.6195999999999999</v>
      </c>
      <c r="U151">
        <v>1.9999999999999997E-2</v>
      </c>
      <c r="V151">
        <v>1</v>
      </c>
      <c r="W151">
        <v>0</v>
      </c>
      <c r="X151">
        <v>2016</v>
      </c>
      <c r="Y151">
        <v>5</v>
      </c>
      <c r="Z151" t="s">
        <v>53</v>
      </c>
    </row>
    <row r="152" spans="1:26" x14ac:dyDescent="0.35">
      <c r="A152">
        <v>1394</v>
      </c>
      <c r="B152" t="s">
        <v>1010</v>
      </c>
      <c r="C152" s="1">
        <v>42801</v>
      </c>
      <c r="D152" s="1">
        <v>42832</v>
      </c>
      <c r="E152">
        <v>31</v>
      </c>
      <c r="F152" t="s">
        <v>1011</v>
      </c>
      <c r="G152" t="s">
        <v>1012</v>
      </c>
      <c r="H152" t="s">
        <v>57</v>
      </c>
      <c r="I152" t="s">
        <v>58</v>
      </c>
      <c r="J152" t="s">
        <v>31</v>
      </c>
      <c r="K152" t="s">
        <v>97</v>
      </c>
      <c r="L152" t="s">
        <v>544</v>
      </c>
      <c r="M152" t="s">
        <v>34</v>
      </c>
      <c r="N152" t="s">
        <v>545</v>
      </c>
      <c r="O152" t="s">
        <v>1013</v>
      </c>
      <c r="P152" t="s">
        <v>50</v>
      </c>
      <c r="Q152" t="s">
        <v>74</v>
      </c>
      <c r="R152" t="s">
        <v>1014</v>
      </c>
      <c r="S152">
        <v>9.5519999999999996</v>
      </c>
      <c r="T152">
        <v>1.5522</v>
      </c>
      <c r="U152">
        <v>0.16250000000000001</v>
      </c>
      <c r="V152">
        <v>3</v>
      </c>
      <c r="W152">
        <v>0.2</v>
      </c>
      <c r="X152">
        <v>2017</v>
      </c>
      <c r="Y152">
        <v>3</v>
      </c>
      <c r="Z152" t="s">
        <v>103</v>
      </c>
    </row>
    <row r="153" spans="1:26" x14ac:dyDescent="0.35">
      <c r="A153">
        <v>1401</v>
      </c>
      <c r="B153" t="s">
        <v>1015</v>
      </c>
      <c r="C153" s="1">
        <v>42380</v>
      </c>
      <c r="D153" s="1">
        <v>42501</v>
      </c>
      <c r="E153">
        <v>121</v>
      </c>
      <c r="F153" t="s">
        <v>1016</v>
      </c>
      <c r="G153" t="s">
        <v>1017</v>
      </c>
      <c r="H153" t="s">
        <v>107</v>
      </c>
      <c r="I153" t="s">
        <v>44</v>
      </c>
      <c r="J153" t="s">
        <v>31</v>
      </c>
      <c r="K153" t="s">
        <v>79</v>
      </c>
      <c r="L153" t="s">
        <v>1018</v>
      </c>
      <c r="M153" t="s">
        <v>34</v>
      </c>
      <c r="N153" t="s">
        <v>1019</v>
      </c>
      <c r="O153" t="s">
        <v>1020</v>
      </c>
      <c r="P153" t="s">
        <v>64</v>
      </c>
      <c r="Q153" t="s">
        <v>65</v>
      </c>
      <c r="R153" t="s">
        <v>1021</v>
      </c>
      <c r="S153">
        <v>21.8</v>
      </c>
      <c r="T153">
        <v>6.1040000000000001</v>
      </c>
      <c r="U153">
        <v>0.27999999999999997</v>
      </c>
      <c r="V153">
        <v>2</v>
      </c>
      <c r="W153">
        <v>0</v>
      </c>
      <c r="X153">
        <v>2016</v>
      </c>
      <c r="Y153">
        <v>1</v>
      </c>
      <c r="Z153" t="s">
        <v>147</v>
      </c>
    </row>
    <row r="154" spans="1:26" x14ac:dyDescent="0.35">
      <c r="A154">
        <v>1408</v>
      </c>
      <c r="B154" t="s">
        <v>1022</v>
      </c>
      <c r="C154" s="1">
        <v>42409</v>
      </c>
      <c r="D154" s="1">
        <v>42530</v>
      </c>
      <c r="E154">
        <v>121</v>
      </c>
      <c r="F154" t="s">
        <v>77</v>
      </c>
      <c r="G154" t="s">
        <v>78</v>
      </c>
      <c r="H154" t="s">
        <v>29</v>
      </c>
      <c r="I154" t="s">
        <v>44</v>
      </c>
      <c r="J154" t="s">
        <v>31</v>
      </c>
      <c r="K154" t="s">
        <v>124</v>
      </c>
      <c r="L154" t="s">
        <v>125</v>
      </c>
      <c r="M154" t="s">
        <v>126</v>
      </c>
      <c r="N154" t="s">
        <v>305</v>
      </c>
      <c r="O154" t="s">
        <v>1023</v>
      </c>
      <c r="P154" t="s">
        <v>50</v>
      </c>
      <c r="Q154" t="s">
        <v>74</v>
      </c>
      <c r="R154" t="s">
        <v>1024</v>
      </c>
      <c r="S154">
        <v>75.48</v>
      </c>
      <c r="T154">
        <v>19.6248</v>
      </c>
      <c r="U154">
        <v>0.26</v>
      </c>
      <c r="V154">
        <v>2</v>
      </c>
      <c r="W154">
        <v>0</v>
      </c>
      <c r="X154">
        <v>2016</v>
      </c>
      <c r="Y154">
        <v>2</v>
      </c>
      <c r="Z154" t="s">
        <v>162</v>
      </c>
    </row>
    <row r="155" spans="1:26" x14ac:dyDescent="0.35">
      <c r="A155">
        <v>1443</v>
      </c>
      <c r="B155" t="s">
        <v>1025</v>
      </c>
      <c r="C155" s="1">
        <v>42863</v>
      </c>
      <c r="D155" s="1">
        <v>42955</v>
      </c>
      <c r="E155">
        <v>92</v>
      </c>
      <c r="F155" t="s">
        <v>1026</v>
      </c>
      <c r="G155" t="s">
        <v>1027</v>
      </c>
      <c r="H155" t="s">
        <v>57</v>
      </c>
      <c r="I155" t="s">
        <v>58</v>
      </c>
      <c r="J155" t="s">
        <v>31</v>
      </c>
      <c r="K155" t="s">
        <v>32</v>
      </c>
      <c r="L155" t="s">
        <v>382</v>
      </c>
      <c r="M155" t="s">
        <v>34</v>
      </c>
      <c r="N155" t="s">
        <v>383</v>
      </c>
      <c r="O155" t="s">
        <v>1028</v>
      </c>
      <c r="P155" t="s">
        <v>50</v>
      </c>
      <c r="Q155" t="s">
        <v>83</v>
      </c>
      <c r="R155" t="s">
        <v>1029</v>
      </c>
      <c r="S155">
        <v>13.76</v>
      </c>
      <c r="T155">
        <v>6.3296000000000001</v>
      </c>
      <c r="U155">
        <v>0.46</v>
      </c>
      <c r="V155">
        <v>2</v>
      </c>
      <c r="W155">
        <v>0</v>
      </c>
      <c r="X155">
        <v>2017</v>
      </c>
      <c r="Y155">
        <v>5</v>
      </c>
      <c r="Z155" t="s">
        <v>53</v>
      </c>
    </row>
    <row r="156" spans="1:26" x14ac:dyDescent="0.35">
      <c r="A156">
        <v>1450</v>
      </c>
      <c r="B156" t="s">
        <v>1030</v>
      </c>
      <c r="C156" s="1">
        <v>42009</v>
      </c>
      <c r="D156" s="1">
        <v>42190</v>
      </c>
      <c r="E156">
        <v>181</v>
      </c>
      <c r="F156" t="s">
        <v>1031</v>
      </c>
      <c r="G156" t="s">
        <v>1032</v>
      </c>
      <c r="H156" t="s">
        <v>57</v>
      </c>
      <c r="I156" t="s">
        <v>44</v>
      </c>
      <c r="J156" t="s">
        <v>31</v>
      </c>
      <c r="K156" t="s">
        <v>205</v>
      </c>
      <c r="L156" t="s">
        <v>206</v>
      </c>
      <c r="M156" t="s">
        <v>47</v>
      </c>
      <c r="N156" t="s">
        <v>491</v>
      </c>
      <c r="O156" t="s">
        <v>1033</v>
      </c>
      <c r="P156" t="s">
        <v>64</v>
      </c>
      <c r="Q156" t="s">
        <v>65</v>
      </c>
      <c r="R156" t="s">
        <v>1034</v>
      </c>
      <c r="S156">
        <v>88.751999999999995</v>
      </c>
      <c r="T156">
        <v>11.093999999999999</v>
      </c>
      <c r="U156">
        <v>0.125</v>
      </c>
      <c r="V156">
        <v>3</v>
      </c>
      <c r="W156">
        <v>0.2</v>
      </c>
      <c r="X156">
        <v>2015</v>
      </c>
      <c r="Y156">
        <v>1</v>
      </c>
      <c r="Z156" t="s">
        <v>147</v>
      </c>
    </row>
    <row r="157" spans="1:26" x14ac:dyDescent="0.35">
      <c r="A157">
        <v>1460</v>
      </c>
      <c r="B157" t="s">
        <v>1035</v>
      </c>
      <c r="C157" s="1">
        <v>41734</v>
      </c>
      <c r="D157" s="1">
        <v>41734</v>
      </c>
      <c r="E157">
        <v>0</v>
      </c>
      <c r="F157" t="s">
        <v>1036</v>
      </c>
      <c r="G157" t="s">
        <v>1037</v>
      </c>
      <c r="H157" t="s">
        <v>29</v>
      </c>
      <c r="I157" t="s">
        <v>543</v>
      </c>
      <c r="J157" t="s">
        <v>31</v>
      </c>
      <c r="K157" t="s">
        <v>1038</v>
      </c>
      <c r="L157" t="s">
        <v>1039</v>
      </c>
      <c r="M157" t="s">
        <v>126</v>
      </c>
      <c r="N157" t="s">
        <v>1040</v>
      </c>
      <c r="O157" t="s">
        <v>1041</v>
      </c>
      <c r="P157" t="s">
        <v>37</v>
      </c>
      <c r="Q157" t="s">
        <v>129</v>
      </c>
      <c r="R157" t="s">
        <v>1042</v>
      </c>
      <c r="S157">
        <v>27.46</v>
      </c>
      <c r="T157">
        <v>9.8856000000000002</v>
      </c>
      <c r="U157">
        <v>0.36</v>
      </c>
      <c r="V157">
        <v>2</v>
      </c>
      <c r="W157">
        <v>0</v>
      </c>
      <c r="X157">
        <v>2014</v>
      </c>
      <c r="Y157">
        <v>4</v>
      </c>
      <c r="Z157" t="s">
        <v>85</v>
      </c>
    </row>
    <row r="158" spans="1:26" x14ac:dyDescent="0.35">
      <c r="A158">
        <v>1461</v>
      </c>
      <c r="B158" t="s">
        <v>1043</v>
      </c>
      <c r="C158" s="1">
        <v>42016</v>
      </c>
      <c r="D158" s="1">
        <v>42228</v>
      </c>
      <c r="E158">
        <v>212</v>
      </c>
      <c r="F158" t="s">
        <v>707</v>
      </c>
      <c r="G158" t="s">
        <v>708</v>
      </c>
      <c r="H158" t="s">
        <v>29</v>
      </c>
      <c r="I158" t="s">
        <v>44</v>
      </c>
      <c r="J158" t="s">
        <v>31</v>
      </c>
      <c r="K158" t="s">
        <v>45</v>
      </c>
      <c r="L158" t="s">
        <v>46</v>
      </c>
      <c r="M158" t="s">
        <v>47</v>
      </c>
      <c r="N158" t="s">
        <v>48</v>
      </c>
      <c r="O158" t="s">
        <v>1044</v>
      </c>
      <c r="P158" t="s">
        <v>50</v>
      </c>
      <c r="Q158" t="s">
        <v>51</v>
      </c>
      <c r="R158" t="s">
        <v>1045</v>
      </c>
      <c r="S158">
        <v>55.423999999999999</v>
      </c>
      <c r="T158">
        <v>19.398399999999999</v>
      </c>
      <c r="U158">
        <v>0.35</v>
      </c>
      <c r="V158">
        <v>2</v>
      </c>
      <c r="W158">
        <v>0.2</v>
      </c>
      <c r="X158">
        <v>2015</v>
      </c>
      <c r="Y158">
        <v>1</v>
      </c>
      <c r="Z158" t="s">
        <v>147</v>
      </c>
    </row>
    <row r="159" spans="1:26" x14ac:dyDescent="0.35">
      <c r="A159">
        <v>1474</v>
      </c>
      <c r="B159" t="s">
        <v>1046</v>
      </c>
      <c r="C159" s="1">
        <v>42016</v>
      </c>
      <c r="D159" s="1">
        <v>42047</v>
      </c>
      <c r="E159">
        <v>31</v>
      </c>
      <c r="F159" t="s">
        <v>1047</v>
      </c>
      <c r="G159" t="s">
        <v>1048</v>
      </c>
      <c r="H159" t="s">
        <v>29</v>
      </c>
      <c r="I159" t="s">
        <v>543</v>
      </c>
      <c r="J159" t="s">
        <v>31</v>
      </c>
      <c r="K159" t="s">
        <v>59</v>
      </c>
      <c r="L159" t="s">
        <v>89</v>
      </c>
      <c r="M159" t="s">
        <v>61</v>
      </c>
      <c r="N159" t="s">
        <v>365</v>
      </c>
      <c r="O159" t="s">
        <v>1049</v>
      </c>
      <c r="P159" t="s">
        <v>37</v>
      </c>
      <c r="Q159" t="s">
        <v>129</v>
      </c>
      <c r="R159" t="s">
        <v>1050</v>
      </c>
      <c r="S159">
        <v>6.6879999999999997</v>
      </c>
      <c r="T159">
        <v>-4.0128000000000004</v>
      </c>
      <c r="U159">
        <v>-0.60000000000000009</v>
      </c>
      <c r="V159">
        <v>4</v>
      </c>
      <c r="W159">
        <v>0.6</v>
      </c>
      <c r="X159">
        <v>2015</v>
      </c>
      <c r="Y159">
        <v>1</v>
      </c>
      <c r="Z159" t="s">
        <v>147</v>
      </c>
    </row>
    <row r="160" spans="1:26" x14ac:dyDescent="0.35">
      <c r="A160">
        <v>1480</v>
      </c>
      <c r="B160" t="s">
        <v>1051</v>
      </c>
      <c r="C160" s="1">
        <v>42412</v>
      </c>
      <c r="D160" s="1">
        <v>42594</v>
      </c>
      <c r="E160">
        <v>182</v>
      </c>
      <c r="F160" t="s">
        <v>1052</v>
      </c>
      <c r="G160" t="s">
        <v>1053</v>
      </c>
      <c r="H160" t="s">
        <v>29</v>
      </c>
      <c r="I160" t="s">
        <v>44</v>
      </c>
      <c r="J160" t="s">
        <v>31</v>
      </c>
      <c r="K160" t="s">
        <v>205</v>
      </c>
      <c r="L160" t="s">
        <v>371</v>
      </c>
      <c r="M160" t="s">
        <v>47</v>
      </c>
      <c r="N160" t="s">
        <v>691</v>
      </c>
      <c r="O160" t="s">
        <v>1054</v>
      </c>
      <c r="P160" t="s">
        <v>50</v>
      </c>
      <c r="Q160" t="s">
        <v>83</v>
      </c>
      <c r="R160" t="s">
        <v>1055</v>
      </c>
      <c r="S160">
        <v>25.92</v>
      </c>
      <c r="T160">
        <v>12.441599999999999</v>
      </c>
      <c r="U160">
        <v>0.47999999999999993</v>
      </c>
      <c r="V160">
        <v>4</v>
      </c>
      <c r="W160">
        <v>0</v>
      </c>
      <c r="X160">
        <v>2016</v>
      </c>
      <c r="Y160">
        <v>2</v>
      </c>
      <c r="Z160" t="s">
        <v>162</v>
      </c>
    </row>
    <row r="161" spans="1:26" x14ac:dyDescent="0.35">
      <c r="A161">
        <v>1487</v>
      </c>
      <c r="B161" t="s">
        <v>1056</v>
      </c>
      <c r="C161" s="1">
        <v>42074</v>
      </c>
      <c r="D161" s="1">
        <v>42196</v>
      </c>
      <c r="E161">
        <v>122</v>
      </c>
      <c r="F161" t="s">
        <v>1057</v>
      </c>
      <c r="G161" t="s">
        <v>1058</v>
      </c>
      <c r="H161" t="s">
        <v>107</v>
      </c>
      <c r="I161" t="s">
        <v>44</v>
      </c>
      <c r="J161" t="s">
        <v>31</v>
      </c>
      <c r="K161" t="s">
        <v>205</v>
      </c>
      <c r="L161" t="s">
        <v>206</v>
      </c>
      <c r="M161" t="s">
        <v>47</v>
      </c>
      <c r="N161" t="s">
        <v>491</v>
      </c>
      <c r="O161" t="s">
        <v>1059</v>
      </c>
      <c r="P161" t="s">
        <v>64</v>
      </c>
      <c r="Q161" t="s">
        <v>65</v>
      </c>
      <c r="R161" t="s">
        <v>1060</v>
      </c>
      <c r="S161">
        <v>1212.848</v>
      </c>
      <c r="T161">
        <v>106.1242</v>
      </c>
      <c r="U161">
        <v>8.7500000000000008E-2</v>
      </c>
      <c r="V161">
        <v>7</v>
      </c>
      <c r="W161">
        <v>0.2</v>
      </c>
      <c r="X161">
        <v>2015</v>
      </c>
      <c r="Y161">
        <v>3</v>
      </c>
      <c r="Z161" t="s">
        <v>103</v>
      </c>
    </row>
    <row r="162" spans="1:26" x14ac:dyDescent="0.35">
      <c r="A162">
        <v>1505</v>
      </c>
      <c r="B162" t="s">
        <v>1061</v>
      </c>
      <c r="C162" s="1">
        <v>42012</v>
      </c>
      <c r="D162" s="1">
        <v>42193</v>
      </c>
      <c r="E162">
        <v>181</v>
      </c>
      <c r="F162" t="s">
        <v>1062</v>
      </c>
      <c r="G162" t="s">
        <v>1063</v>
      </c>
      <c r="H162" t="s">
        <v>107</v>
      </c>
      <c r="I162" t="s">
        <v>44</v>
      </c>
      <c r="J162" t="s">
        <v>31</v>
      </c>
      <c r="K162" t="s">
        <v>205</v>
      </c>
      <c r="L162" t="s">
        <v>206</v>
      </c>
      <c r="M162" t="s">
        <v>47</v>
      </c>
      <c r="N162" t="s">
        <v>228</v>
      </c>
      <c r="O162" t="s">
        <v>1064</v>
      </c>
      <c r="P162" t="s">
        <v>50</v>
      </c>
      <c r="Q162" t="s">
        <v>74</v>
      </c>
      <c r="R162" t="s">
        <v>1065</v>
      </c>
      <c r="S162">
        <v>6.72</v>
      </c>
      <c r="T162">
        <v>3.36</v>
      </c>
      <c r="U162">
        <v>0.5</v>
      </c>
      <c r="V162">
        <v>4</v>
      </c>
      <c r="W162">
        <v>0</v>
      </c>
      <c r="X162">
        <v>2015</v>
      </c>
      <c r="Y162">
        <v>1</v>
      </c>
      <c r="Z162" t="s">
        <v>147</v>
      </c>
    </row>
    <row r="163" spans="1:26" x14ac:dyDescent="0.35">
      <c r="A163">
        <v>1509</v>
      </c>
      <c r="B163" t="s">
        <v>1066</v>
      </c>
      <c r="C163" s="1">
        <v>43020</v>
      </c>
      <c r="D163" s="1">
        <v>43020</v>
      </c>
      <c r="E163">
        <v>0</v>
      </c>
      <c r="F163" t="s">
        <v>1067</v>
      </c>
      <c r="G163" t="s">
        <v>1068</v>
      </c>
      <c r="H163" t="s">
        <v>107</v>
      </c>
      <c r="I163" t="s">
        <v>543</v>
      </c>
      <c r="J163" t="s">
        <v>31</v>
      </c>
      <c r="K163" t="s">
        <v>1069</v>
      </c>
      <c r="L163" t="s">
        <v>1070</v>
      </c>
      <c r="M163" t="s">
        <v>61</v>
      </c>
      <c r="N163" t="s">
        <v>1071</v>
      </c>
      <c r="O163" t="s">
        <v>1072</v>
      </c>
      <c r="P163" t="s">
        <v>50</v>
      </c>
      <c r="Q163" t="s">
        <v>51</v>
      </c>
      <c r="R163" t="s">
        <v>1073</v>
      </c>
      <c r="S163">
        <v>34.5</v>
      </c>
      <c r="T163">
        <v>15.525</v>
      </c>
      <c r="U163">
        <v>0.45</v>
      </c>
      <c r="V163">
        <v>3</v>
      </c>
      <c r="W163">
        <v>0</v>
      </c>
      <c r="X163">
        <v>2017</v>
      </c>
      <c r="Y163">
        <v>10</v>
      </c>
      <c r="Z163" t="s">
        <v>694</v>
      </c>
    </row>
    <row r="164" spans="1:26" x14ac:dyDescent="0.35">
      <c r="A164">
        <v>1529</v>
      </c>
      <c r="B164" t="s">
        <v>1074</v>
      </c>
      <c r="C164" s="1">
        <v>42196</v>
      </c>
      <c r="D164" s="1">
        <v>42288</v>
      </c>
      <c r="E164">
        <v>92</v>
      </c>
      <c r="F164" t="s">
        <v>1075</v>
      </c>
      <c r="G164" t="s">
        <v>1076</v>
      </c>
      <c r="H164" t="s">
        <v>57</v>
      </c>
      <c r="I164" t="s">
        <v>30</v>
      </c>
      <c r="J164" t="s">
        <v>31</v>
      </c>
      <c r="K164" t="s">
        <v>1077</v>
      </c>
      <c r="L164" t="s">
        <v>1078</v>
      </c>
      <c r="M164" t="s">
        <v>126</v>
      </c>
      <c r="N164" t="s">
        <v>1079</v>
      </c>
      <c r="O164" t="s">
        <v>1080</v>
      </c>
      <c r="P164" t="s">
        <v>50</v>
      </c>
      <c r="Q164" t="s">
        <v>486</v>
      </c>
      <c r="R164" t="s">
        <v>1081</v>
      </c>
      <c r="S164">
        <v>26.18</v>
      </c>
      <c r="T164">
        <v>0.52359999999999995</v>
      </c>
      <c r="U164">
        <v>1.9999999999999997E-2</v>
      </c>
      <c r="V164">
        <v>7</v>
      </c>
      <c r="W164">
        <v>0</v>
      </c>
      <c r="X164">
        <v>2015</v>
      </c>
      <c r="Y164">
        <v>7</v>
      </c>
      <c r="Z164" t="s">
        <v>217</v>
      </c>
    </row>
    <row r="165" spans="1:26" x14ac:dyDescent="0.35">
      <c r="A165">
        <v>1534</v>
      </c>
      <c r="B165" t="s">
        <v>1082</v>
      </c>
      <c r="C165" s="1">
        <v>42472</v>
      </c>
      <c r="D165" s="1">
        <v>42594</v>
      </c>
      <c r="E165">
        <v>122</v>
      </c>
      <c r="F165" t="s">
        <v>495</v>
      </c>
      <c r="G165" t="s">
        <v>496</v>
      </c>
      <c r="H165" t="s">
        <v>57</v>
      </c>
      <c r="I165" t="s">
        <v>44</v>
      </c>
      <c r="J165" t="s">
        <v>31</v>
      </c>
      <c r="K165" t="s">
        <v>124</v>
      </c>
      <c r="L165" t="s">
        <v>125</v>
      </c>
      <c r="M165" t="s">
        <v>126</v>
      </c>
      <c r="N165" t="s">
        <v>667</v>
      </c>
      <c r="O165" t="s">
        <v>1083</v>
      </c>
      <c r="P165" t="s">
        <v>50</v>
      </c>
      <c r="Q165" t="s">
        <v>110</v>
      </c>
      <c r="R165" t="s">
        <v>1084</v>
      </c>
      <c r="S165">
        <v>212.88</v>
      </c>
      <c r="T165">
        <v>0</v>
      </c>
      <c r="U165">
        <v>0</v>
      </c>
      <c r="V165">
        <v>6</v>
      </c>
      <c r="W165">
        <v>0</v>
      </c>
      <c r="X165">
        <v>2016</v>
      </c>
      <c r="Y165">
        <v>4</v>
      </c>
      <c r="Z165" t="s">
        <v>85</v>
      </c>
    </row>
    <row r="166" spans="1:26" x14ac:dyDescent="0.35">
      <c r="A166">
        <v>1544</v>
      </c>
      <c r="B166" t="s">
        <v>1085</v>
      </c>
      <c r="C166" s="1">
        <v>41731</v>
      </c>
      <c r="D166" s="1">
        <v>41853</v>
      </c>
      <c r="E166">
        <v>122</v>
      </c>
      <c r="F166" t="s">
        <v>1086</v>
      </c>
      <c r="G166" t="s">
        <v>1087</v>
      </c>
      <c r="H166" t="s">
        <v>107</v>
      </c>
      <c r="I166" t="s">
        <v>44</v>
      </c>
      <c r="J166" t="s">
        <v>31</v>
      </c>
      <c r="K166" t="s">
        <v>205</v>
      </c>
      <c r="L166" t="s">
        <v>423</v>
      </c>
      <c r="M166" t="s">
        <v>47</v>
      </c>
      <c r="N166" t="s">
        <v>424</v>
      </c>
      <c r="O166" t="s">
        <v>1088</v>
      </c>
      <c r="P166" t="s">
        <v>50</v>
      </c>
      <c r="Q166" t="s">
        <v>51</v>
      </c>
      <c r="R166" t="s">
        <v>1089</v>
      </c>
      <c r="S166">
        <v>82.896000000000001</v>
      </c>
      <c r="T166">
        <v>29.0136</v>
      </c>
      <c r="U166">
        <v>0.35</v>
      </c>
      <c r="V166">
        <v>3</v>
      </c>
      <c r="W166">
        <v>0.2</v>
      </c>
      <c r="X166">
        <v>2014</v>
      </c>
      <c r="Y166">
        <v>4</v>
      </c>
      <c r="Z166" t="s">
        <v>85</v>
      </c>
    </row>
    <row r="167" spans="1:26" x14ac:dyDescent="0.35">
      <c r="A167">
        <v>1553</v>
      </c>
      <c r="B167" t="s">
        <v>1090</v>
      </c>
      <c r="C167" s="1">
        <v>41703</v>
      </c>
      <c r="D167" s="1">
        <v>41764</v>
      </c>
      <c r="E167">
        <v>61</v>
      </c>
      <c r="F167" t="s">
        <v>1091</v>
      </c>
      <c r="G167" t="s">
        <v>1092</v>
      </c>
      <c r="H167" t="s">
        <v>107</v>
      </c>
      <c r="I167" t="s">
        <v>58</v>
      </c>
      <c r="J167" t="s">
        <v>31</v>
      </c>
      <c r="K167" t="s">
        <v>197</v>
      </c>
      <c r="L167" t="s">
        <v>1093</v>
      </c>
      <c r="M167" t="s">
        <v>61</v>
      </c>
      <c r="N167" t="s">
        <v>1094</v>
      </c>
      <c r="O167" t="s">
        <v>1095</v>
      </c>
      <c r="P167" t="s">
        <v>50</v>
      </c>
      <c r="Q167" t="s">
        <v>267</v>
      </c>
      <c r="R167" t="s">
        <v>1096</v>
      </c>
      <c r="S167">
        <v>21.56</v>
      </c>
      <c r="T167">
        <v>10.348800000000001</v>
      </c>
      <c r="U167">
        <v>0.48000000000000004</v>
      </c>
      <c r="V167">
        <v>7</v>
      </c>
      <c r="W167">
        <v>0</v>
      </c>
      <c r="X167">
        <v>2014</v>
      </c>
      <c r="Y167">
        <v>3</v>
      </c>
      <c r="Z167" t="s">
        <v>103</v>
      </c>
    </row>
    <row r="168" spans="1:26" x14ac:dyDescent="0.35">
      <c r="A168">
        <v>1561</v>
      </c>
      <c r="B168" t="s">
        <v>1097</v>
      </c>
      <c r="C168" s="1">
        <v>41733</v>
      </c>
      <c r="D168" s="1">
        <v>41886</v>
      </c>
      <c r="E168">
        <v>153</v>
      </c>
      <c r="F168" t="s">
        <v>683</v>
      </c>
      <c r="G168" t="s">
        <v>684</v>
      </c>
      <c r="H168" t="s">
        <v>107</v>
      </c>
      <c r="I168" t="s">
        <v>44</v>
      </c>
      <c r="J168" t="s">
        <v>31</v>
      </c>
      <c r="K168" t="s">
        <v>205</v>
      </c>
      <c r="L168" t="s">
        <v>371</v>
      </c>
      <c r="M168" t="s">
        <v>47</v>
      </c>
      <c r="N168" t="s">
        <v>921</v>
      </c>
      <c r="O168" t="s">
        <v>1098</v>
      </c>
      <c r="P168" t="s">
        <v>50</v>
      </c>
      <c r="Q168" t="s">
        <v>267</v>
      </c>
      <c r="R168" t="s">
        <v>1099</v>
      </c>
      <c r="S168">
        <v>18.899999999999999</v>
      </c>
      <c r="T168">
        <v>9.0719999999999992</v>
      </c>
      <c r="U168">
        <v>0.48</v>
      </c>
      <c r="V168">
        <v>6</v>
      </c>
      <c r="W168">
        <v>0</v>
      </c>
      <c r="X168">
        <v>2014</v>
      </c>
      <c r="Y168">
        <v>4</v>
      </c>
      <c r="Z168" t="s">
        <v>85</v>
      </c>
    </row>
    <row r="169" spans="1:26" x14ac:dyDescent="0.35">
      <c r="A169">
        <v>1564</v>
      </c>
      <c r="B169" t="s">
        <v>1100</v>
      </c>
      <c r="C169" s="1">
        <v>42258</v>
      </c>
      <c r="D169" s="1">
        <v>42258</v>
      </c>
      <c r="E169">
        <v>0</v>
      </c>
      <c r="F169" t="s">
        <v>1101</v>
      </c>
      <c r="G169" t="s">
        <v>1102</v>
      </c>
      <c r="H169" t="s">
        <v>29</v>
      </c>
      <c r="I169" t="s">
        <v>543</v>
      </c>
      <c r="J169" t="s">
        <v>31</v>
      </c>
      <c r="K169" t="s">
        <v>189</v>
      </c>
      <c r="L169" t="s">
        <v>190</v>
      </c>
      <c r="M169" t="s">
        <v>126</v>
      </c>
      <c r="N169" t="s">
        <v>430</v>
      </c>
      <c r="O169" t="s">
        <v>1103</v>
      </c>
      <c r="P169" t="s">
        <v>50</v>
      </c>
      <c r="Q169" t="s">
        <v>83</v>
      </c>
      <c r="R169" t="s">
        <v>1104</v>
      </c>
      <c r="S169">
        <v>11.352</v>
      </c>
      <c r="T169">
        <v>4.1151</v>
      </c>
      <c r="U169">
        <v>0.36249999999999999</v>
      </c>
      <c r="V169">
        <v>3</v>
      </c>
      <c r="W169">
        <v>0.2</v>
      </c>
      <c r="X169">
        <v>2015</v>
      </c>
      <c r="Y169">
        <v>9</v>
      </c>
      <c r="Z169" t="s">
        <v>93</v>
      </c>
    </row>
    <row r="170" spans="1:26" x14ac:dyDescent="0.35">
      <c r="A170">
        <v>1565</v>
      </c>
      <c r="B170" t="s">
        <v>1105</v>
      </c>
      <c r="C170" s="1">
        <v>41732</v>
      </c>
      <c r="D170" s="1">
        <v>41732</v>
      </c>
      <c r="E170">
        <v>0</v>
      </c>
      <c r="F170" t="s">
        <v>149</v>
      </c>
      <c r="G170" t="s">
        <v>150</v>
      </c>
      <c r="H170" t="s">
        <v>29</v>
      </c>
      <c r="I170" t="s">
        <v>543</v>
      </c>
      <c r="J170" t="s">
        <v>31</v>
      </c>
      <c r="K170" t="s">
        <v>1106</v>
      </c>
      <c r="L170" t="s">
        <v>634</v>
      </c>
      <c r="M170" t="s">
        <v>34</v>
      </c>
      <c r="N170" t="s">
        <v>1107</v>
      </c>
      <c r="O170" t="s">
        <v>1108</v>
      </c>
      <c r="P170" t="s">
        <v>50</v>
      </c>
      <c r="Q170" t="s">
        <v>110</v>
      </c>
      <c r="R170" t="s">
        <v>1109</v>
      </c>
      <c r="S170">
        <v>354.9</v>
      </c>
      <c r="T170">
        <v>17.745000000000001</v>
      </c>
      <c r="U170">
        <v>0.05</v>
      </c>
      <c r="V170">
        <v>5</v>
      </c>
      <c r="W170">
        <v>0</v>
      </c>
      <c r="X170">
        <v>2014</v>
      </c>
      <c r="Y170">
        <v>4</v>
      </c>
      <c r="Z170" t="s">
        <v>85</v>
      </c>
    </row>
    <row r="171" spans="1:26" x14ac:dyDescent="0.35">
      <c r="A171">
        <v>1569</v>
      </c>
      <c r="B171" t="s">
        <v>1110</v>
      </c>
      <c r="C171" s="1">
        <v>43045</v>
      </c>
      <c r="D171" s="1">
        <v>43045</v>
      </c>
      <c r="E171">
        <v>0</v>
      </c>
      <c r="F171" t="s">
        <v>1111</v>
      </c>
      <c r="G171" t="s">
        <v>1112</v>
      </c>
      <c r="H171" t="s">
        <v>29</v>
      </c>
      <c r="I171" t="s">
        <v>543</v>
      </c>
      <c r="J171" t="s">
        <v>31</v>
      </c>
      <c r="K171" t="s">
        <v>205</v>
      </c>
      <c r="L171" t="s">
        <v>206</v>
      </c>
      <c r="M171" t="s">
        <v>47</v>
      </c>
      <c r="N171" t="s">
        <v>228</v>
      </c>
      <c r="O171" t="s">
        <v>1113</v>
      </c>
      <c r="P171" t="s">
        <v>50</v>
      </c>
      <c r="Q171" t="s">
        <v>83</v>
      </c>
      <c r="R171" t="s">
        <v>1114</v>
      </c>
      <c r="S171">
        <v>122.97</v>
      </c>
      <c r="T171">
        <v>60.255299999999998</v>
      </c>
      <c r="U171">
        <v>0.49</v>
      </c>
      <c r="V171">
        <v>3</v>
      </c>
      <c r="W171">
        <v>0</v>
      </c>
      <c r="X171">
        <v>2017</v>
      </c>
      <c r="Y171">
        <v>11</v>
      </c>
      <c r="Z171" t="s">
        <v>210</v>
      </c>
    </row>
    <row r="172" spans="1:26" x14ac:dyDescent="0.35">
      <c r="A172">
        <v>1596</v>
      </c>
      <c r="B172" t="s">
        <v>1115</v>
      </c>
      <c r="C172" s="1">
        <v>42952</v>
      </c>
      <c r="D172" s="1">
        <v>43074</v>
      </c>
      <c r="E172">
        <v>122</v>
      </c>
      <c r="F172" t="s">
        <v>1116</v>
      </c>
      <c r="G172" t="s">
        <v>1117</v>
      </c>
      <c r="H172" t="s">
        <v>29</v>
      </c>
      <c r="I172" t="s">
        <v>44</v>
      </c>
      <c r="J172" t="s">
        <v>31</v>
      </c>
      <c r="K172" t="s">
        <v>181</v>
      </c>
      <c r="L172" t="s">
        <v>182</v>
      </c>
      <c r="M172" t="s">
        <v>126</v>
      </c>
      <c r="N172" t="s">
        <v>183</v>
      </c>
      <c r="O172" t="s">
        <v>1118</v>
      </c>
      <c r="P172" t="s">
        <v>37</v>
      </c>
      <c r="Q172" t="s">
        <v>320</v>
      </c>
      <c r="R172" t="s">
        <v>1119</v>
      </c>
      <c r="S172">
        <v>47.991999999999997</v>
      </c>
      <c r="T172">
        <v>-2.0568</v>
      </c>
      <c r="U172">
        <v>-4.2857142857142858E-2</v>
      </c>
      <c r="V172">
        <v>2</v>
      </c>
      <c r="W172">
        <v>0.3</v>
      </c>
      <c r="X172">
        <v>2017</v>
      </c>
      <c r="Y172">
        <v>8</v>
      </c>
      <c r="Z172" t="s">
        <v>40</v>
      </c>
    </row>
    <row r="173" spans="1:26" x14ac:dyDescent="0.35">
      <c r="A173">
        <v>1631</v>
      </c>
      <c r="B173" t="s">
        <v>1120</v>
      </c>
      <c r="C173" s="1">
        <v>42587</v>
      </c>
      <c r="D173" s="1">
        <v>42587</v>
      </c>
      <c r="E173">
        <v>0</v>
      </c>
      <c r="F173" t="s">
        <v>149</v>
      </c>
      <c r="G173" t="s">
        <v>150</v>
      </c>
      <c r="H173" t="s">
        <v>29</v>
      </c>
      <c r="I173" t="s">
        <v>543</v>
      </c>
      <c r="J173" t="s">
        <v>31</v>
      </c>
      <c r="K173" t="s">
        <v>181</v>
      </c>
      <c r="L173" t="s">
        <v>1121</v>
      </c>
      <c r="M173" t="s">
        <v>126</v>
      </c>
      <c r="N173" t="s">
        <v>1122</v>
      </c>
      <c r="O173" t="s">
        <v>1123</v>
      </c>
      <c r="P173" t="s">
        <v>50</v>
      </c>
      <c r="Q173" t="s">
        <v>110</v>
      </c>
      <c r="R173" t="s">
        <v>1124</v>
      </c>
      <c r="S173">
        <v>1006.056</v>
      </c>
      <c r="T173">
        <v>88.029899999999998</v>
      </c>
      <c r="U173">
        <v>8.7499999999999994E-2</v>
      </c>
      <c r="V173">
        <v>3</v>
      </c>
      <c r="W173">
        <v>0.2</v>
      </c>
      <c r="X173">
        <v>2016</v>
      </c>
      <c r="Y173">
        <v>8</v>
      </c>
      <c r="Z173" t="s">
        <v>40</v>
      </c>
    </row>
    <row r="174" spans="1:26" x14ac:dyDescent="0.35">
      <c r="A174">
        <v>1673</v>
      </c>
      <c r="B174" t="s">
        <v>1125</v>
      </c>
      <c r="C174" s="1">
        <v>42801</v>
      </c>
      <c r="D174" s="1">
        <v>42923</v>
      </c>
      <c r="E174">
        <v>122</v>
      </c>
      <c r="F174" t="s">
        <v>1126</v>
      </c>
      <c r="G174" t="s">
        <v>1127</v>
      </c>
      <c r="H174" t="s">
        <v>29</v>
      </c>
      <c r="I174" t="s">
        <v>44</v>
      </c>
      <c r="J174" t="s">
        <v>31</v>
      </c>
      <c r="K174" t="s">
        <v>59</v>
      </c>
      <c r="L174" t="s">
        <v>1128</v>
      </c>
      <c r="M174" t="s">
        <v>61</v>
      </c>
      <c r="N174" t="s">
        <v>1129</v>
      </c>
      <c r="O174" t="s">
        <v>1130</v>
      </c>
      <c r="P174" t="s">
        <v>64</v>
      </c>
      <c r="Q174" t="s">
        <v>65</v>
      </c>
      <c r="R174" t="s">
        <v>1131</v>
      </c>
      <c r="S174">
        <v>167.96799999999999</v>
      </c>
      <c r="T174">
        <v>62.988</v>
      </c>
      <c r="U174">
        <v>0.375</v>
      </c>
      <c r="V174">
        <v>4</v>
      </c>
      <c r="W174">
        <v>0.2</v>
      </c>
      <c r="X174">
        <v>2017</v>
      </c>
      <c r="Y174">
        <v>3</v>
      </c>
      <c r="Z174" t="s">
        <v>103</v>
      </c>
    </row>
    <row r="175" spans="1:26" x14ac:dyDescent="0.35">
      <c r="A175">
        <v>1674</v>
      </c>
      <c r="B175" t="s">
        <v>1132</v>
      </c>
      <c r="C175" s="1">
        <v>42320</v>
      </c>
      <c r="D175" s="1">
        <v>42350</v>
      </c>
      <c r="E175">
        <v>30</v>
      </c>
      <c r="F175" t="s">
        <v>1133</v>
      </c>
      <c r="G175" t="s">
        <v>1134</v>
      </c>
      <c r="H175" t="s">
        <v>29</v>
      </c>
      <c r="I175" t="s">
        <v>58</v>
      </c>
      <c r="J175" t="s">
        <v>31</v>
      </c>
      <c r="K175" t="s">
        <v>79</v>
      </c>
      <c r="L175" t="s">
        <v>1135</v>
      </c>
      <c r="M175" t="s">
        <v>34</v>
      </c>
      <c r="N175" t="s">
        <v>1136</v>
      </c>
      <c r="O175" t="s">
        <v>1137</v>
      </c>
      <c r="P175" t="s">
        <v>50</v>
      </c>
      <c r="Q175" t="s">
        <v>267</v>
      </c>
      <c r="R175" t="s">
        <v>1138</v>
      </c>
      <c r="S175">
        <v>196.62</v>
      </c>
      <c r="T175">
        <v>96.343800000000002</v>
      </c>
      <c r="U175">
        <v>0.49</v>
      </c>
      <c r="V175">
        <v>2</v>
      </c>
      <c r="W175">
        <v>0</v>
      </c>
      <c r="X175">
        <v>2015</v>
      </c>
      <c r="Y175">
        <v>11</v>
      </c>
      <c r="Z175" t="s">
        <v>210</v>
      </c>
    </row>
    <row r="176" spans="1:26" x14ac:dyDescent="0.35">
      <c r="A176">
        <v>1684</v>
      </c>
      <c r="B176" t="s">
        <v>1139</v>
      </c>
      <c r="C176" s="1">
        <v>42562</v>
      </c>
      <c r="D176" s="1">
        <v>42715</v>
      </c>
      <c r="E176">
        <v>153</v>
      </c>
      <c r="F176" t="s">
        <v>1140</v>
      </c>
      <c r="G176" t="s">
        <v>1141</v>
      </c>
      <c r="H176" t="s">
        <v>57</v>
      </c>
      <c r="I176" t="s">
        <v>44</v>
      </c>
      <c r="J176" t="s">
        <v>31</v>
      </c>
      <c r="K176" t="s">
        <v>205</v>
      </c>
      <c r="L176" t="s">
        <v>371</v>
      </c>
      <c r="M176" t="s">
        <v>47</v>
      </c>
      <c r="N176" t="s">
        <v>372</v>
      </c>
      <c r="O176" t="s">
        <v>1142</v>
      </c>
      <c r="P176" t="s">
        <v>37</v>
      </c>
      <c r="Q176" t="s">
        <v>129</v>
      </c>
      <c r="R176" t="s">
        <v>1143</v>
      </c>
      <c r="S176">
        <v>14.82</v>
      </c>
      <c r="T176">
        <v>6.2244000000000002</v>
      </c>
      <c r="U176">
        <v>0.42</v>
      </c>
      <c r="V176">
        <v>3</v>
      </c>
      <c r="W176">
        <v>0</v>
      </c>
      <c r="X176">
        <v>2016</v>
      </c>
      <c r="Y176">
        <v>7</v>
      </c>
      <c r="Z176" t="s">
        <v>217</v>
      </c>
    </row>
    <row r="177" spans="1:26" x14ac:dyDescent="0.35">
      <c r="A177">
        <v>1688</v>
      </c>
      <c r="B177" t="s">
        <v>1144</v>
      </c>
      <c r="C177" s="1">
        <v>43020</v>
      </c>
      <c r="D177" s="1">
        <v>43081</v>
      </c>
      <c r="E177">
        <v>61</v>
      </c>
      <c r="F177" t="s">
        <v>1145</v>
      </c>
      <c r="G177" t="s">
        <v>1146</v>
      </c>
      <c r="H177" t="s">
        <v>29</v>
      </c>
      <c r="I177" t="s">
        <v>58</v>
      </c>
      <c r="J177" t="s">
        <v>31</v>
      </c>
      <c r="K177" t="s">
        <v>189</v>
      </c>
      <c r="L177" t="s">
        <v>190</v>
      </c>
      <c r="M177" t="s">
        <v>126</v>
      </c>
      <c r="N177" t="s">
        <v>191</v>
      </c>
      <c r="O177" t="s">
        <v>1147</v>
      </c>
      <c r="P177" t="s">
        <v>50</v>
      </c>
      <c r="Q177" t="s">
        <v>83</v>
      </c>
      <c r="R177" t="s">
        <v>1148</v>
      </c>
      <c r="S177">
        <v>10.368</v>
      </c>
      <c r="T177">
        <v>3.6288</v>
      </c>
      <c r="U177">
        <v>0.35</v>
      </c>
      <c r="V177">
        <v>2</v>
      </c>
      <c r="W177">
        <v>0.2</v>
      </c>
      <c r="X177">
        <v>2017</v>
      </c>
      <c r="Y177">
        <v>10</v>
      </c>
      <c r="Z177" t="s">
        <v>694</v>
      </c>
    </row>
    <row r="178" spans="1:26" x14ac:dyDescent="0.35">
      <c r="A178">
        <v>1704</v>
      </c>
      <c r="B178" t="s">
        <v>1149</v>
      </c>
      <c r="C178" s="1">
        <v>41672</v>
      </c>
      <c r="D178" s="1">
        <v>41792</v>
      </c>
      <c r="E178">
        <v>120</v>
      </c>
      <c r="F178" t="s">
        <v>1150</v>
      </c>
      <c r="G178" t="s">
        <v>1151</v>
      </c>
      <c r="H178" t="s">
        <v>107</v>
      </c>
      <c r="I178" t="s">
        <v>44</v>
      </c>
      <c r="J178" t="s">
        <v>31</v>
      </c>
      <c r="K178" t="s">
        <v>205</v>
      </c>
      <c r="L178" t="s">
        <v>423</v>
      </c>
      <c r="M178" t="s">
        <v>47</v>
      </c>
      <c r="N178" t="s">
        <v>1152</v>
      </c>
      <c r="O178" t="s">
        <v>1153</v>
      </c>
      <c r="P178" t="s">
        <v>50</v>
      </c>
      <c r="Q178" t="s">
        <v>486</v>
      </c>
      <c r="R178" t="s">
        <v>524</v>
      </c>
      <c r="S178">
        <v>12.35</v>
      </c>
      <c r="T178">
        <v>5.8045</v>
      </c>
      <c r="U178">
        <v>0.47000000000000003</v>
      </c>
      <c r="V178">
        <v>5</v>
      </c>
      <c r="W178">
        <v>0</v>
      </c>
      <c r="X178">
        <v>2014</v>
      </c>
      <c r="Y178">
        <v>2</v>
      </c>
      <c r="Z178" t="s">
        <v>162</v>
      </c>
    </row>
    <row r="179" spans="1:26" x14ac:dyDescent="0.35">
      <c r="A179">
        <v>1705</v>
      </c>
      <c r="B179" t="s">
        <v>1154</v>
      </c>
      <c r="C179" s="1">
        <v>42585</v>
      </c>
      <c r="D179" s="1">
        <v>42585</v>
      </c>
      <c r="E179">
        <v>0</v>
      </c>
      <c r="F179" t="s">
        <v>1155</v>
      </c>
      <c r="G179" t="s">
        <v>1156</v>
      </c>
      <c r="H179" t="s">
        <v>29</v>
      </c>
      <c r="I179" t="s">
        <v>543</v>
      </c>
      <c r="J179" t="s">
        <v>31</v>
      </c>
      <c r="K179" t="s">
        <v>70</v>
      </c>
      <c r="L179" t="s">
        <v>1157</v>
      </c>
      <c r="M179" t="s">
        <v>47</v>
      </c>
      <c r="N179" t="s">
        <v>1158</v>
      </c>
      <c r="O179" t="s">
        <v>1159</v>
      </c>
      <c r="P179" t="s">
        <v>50</v>
      </c>
      <c r="Q179" t="s">
        <v>51</v>
      </c>
      <c r="R179" t="s">
        <v>1160</v>
      </c>
      <c r="S179">
        <v>9.702</v>
      </c>
      <c r="T179">
        <v>-7.1147999999999998</v>
      </c>
      <c r="U179">
        <v>-0.73333333333333328</v>
      </c>
      <c r="V179">
        <v>3</v>
      </c>
      <c r="W179">
        <v>0.7</v>
      </c>
      <c r="X179">
        <v>2016</v>
      </c>
      <c r="Y179">
        <v>8</v>
      </c>
      <c r="Z179" t="s">
        <v>40</v>
      </c>
    </row>
    <row r="180" spans="1:26" x14ac:dyDescent="0.35">
      <c r="A180">
        <v>1729</v>
      </c>
      <c r="B180" t="s">
        <v>1161</v>
      </c>
      <c r="C180" s="1">
        <v>42553</v>
      </c>
      <c r="D180" s="1">
        <v>42553</v>
      </c>
      <c r="E180">
        <v>0</v>
      </c>
      <c r="F180" t="s">
        <v>1162</v>
      </c>
      <c r="G180" t="s">
        <v>1163</v>
      </c>
      <c r="H180" t="s">
        <v>29</v>
      </c>
      <c r="I180" t="s">
        <v>543</v>
      </c>
      <c r="J180" t="s">
        <v>31</v>
      </c>
      <c r="K180" t="s">
        <v>79</v>
      </c>
      <c r="L180" t="s">
        <v>80</v>
      </c>
      <c r="M180" t="s">
        <v>34</v>
      </c>
      <c r="N180" t="s">
        <v>81</v>
      </c>
      <c r="O180" t="s">
        <v>1164</v>
      </c>
      <c r="P180" t="s">
        <v>64</v>
      </c>
      <c r="Q180" t="s">
        <v>288</v>
      </c>
      <c r="R180" t="s">
        <v>1165</v>
      </c>
      <c r="S180">
        <v>100</v>
      </c>
      <c r="T180">
        <v>21</v>
      </c>
      <c r="U180">
        <v>0.21</v>
      </c>
      <c r="V180">
        <v>4</v>
      </c>
      <c r="W180">
        <v>0</v>
      </c>
      <c r="X180">
        <v>2016</v>
      </c>
      <c r="Y180">
        <v>7</v>
      </c>
      <c r="Z180" t="s">
        <v>217</v>
      </c>
    </row>
    <row r="181" spans="1:26" x14ac:dyDescent="0.35">
      <c r="A181">
        <v>1746</v>
      </c>
      <c r="B181" t="s">
        <v>1166</v>
      </c>
      <c r="C181" s="1">
        <v>41796</v>
      </c>
      <c r="D181" s="1">
        <v>41888</v>
      </c>
      <c r="E181">
        <v>92</v>
      </c>
      <c r="F181" t="s">
        <v>622</v>
      </c>
      <c r="G181" t="s">
        <v>623</v>
      </c>
      <c r="H181" t="s">
        <v>29</v>
      </c>
      <c r="I181" t="s">
        <v>58</v>
      </c>
      <c r="J181" t="s">
        <v>31</v>
      </c>
      <c r="K181" t="s">
        <v>124</v>
      </c>
      <c r="L181" t="s">
        <v>143</v>
      </c>
      <c r="M181" t="s">
        <v>126</v>
      </c>
      <c r="N181" t="s">
        <v>1167</v>
      </c>
      <c r="O181" t="s">
        <v>1168</v>
      </c>
      <c r="P181" t="s">
        <v>50</v>
      </c>
      <c r="Q181" t="s">
        <v>74</v>
      </c>
      <c r="R181" t="s">
        <v>1169</v>
      </c>
      <c r="S181">
        <v>13.36</v>
      </c>
      <c r="T181">
        <v>4.9432</v>
      </c>
      <c r="U181">
        <v>0.37</v>
      </c>
      <c r="V181">
        <v>2</v>
      </c>
      <c r="W181">
        <v>0</v>
      </c>
      <c r="X181">
        <v>2014</v>
      </c>
      <c r="Y181">
        <v>6</v>
      </c>
      <c r="Z181" t="s">
        <v>120</v>
      </c>
    </row>
    <row r="182" spans="1:26" x14ac:dyDescent="0.35">
      <c r="A182">
        <v>1756</v>
      </c>
      <c r="B182" t="s">
        <v>1170</v>
      </c>
      <c r="C182" s="1">
        <v>42228</v>
      </c>
      <c r="D182" s="1">
        <v>42320</v>
      </c>
      <c r="E182">
        <v>92</v>
      </c>
      <c r="F182" t="s">
        <v>1171</v>
      </c>
      <c r="G182" t="s">
        <v>1172</v>
      </c>
      <c r="H182" t="s">
        <v>107</v>
      </c>
      <c r="I182" t="s">
        <v>30</v>
      </c>
      <c r="J182" t="s">
        <v>31</v>
      </c>
      <c r="K182" t="s">
        <v>59</v>
      </c>
      <c r="L182" t="s">
        <v>641</v>
      </c>
      <c r="M182" t="s">
        <v>61</v>
      </c>
      <c r="N182" t="s">
        <v>642</v>
      </c>
      <c r="O182" t="s">
        <v>1173</v>
      </c>
      <c r="P182" t="s">
        <v>50</v>
      </c>
      <c r="Q182" t="s">
        <v>83</v>
      </c>
      <c r="R182" t="s">
        <v>1174</v>
      </c>
      <c r="S182">
        <v>360.71199999999999</v>
      </c>
      <c r="T182">
        <v>130.75810000000001</v>
      </c>
      <c r="U182">
        <v>0.36250000000000004</v>
      </c>
      <c r="V182">
        <v>11</v>
      </c>
      <c r="W182">
        <v>0.2</v>
      </c>
      <c r="X182">
        <v>2015</v>
      </c>
      <c r="Y182">
        <v>8</v>
      </c>
      <c r="Z182" t="s">
        <v>40</v>
      </c>
    </row>
    <row r="183" spans="1:26" x14ac:dyDescent="0.35">
      <c r="A183">
        <v>1761</v>
      </c>
      <c r="B183" t="s">
        <v>1175</v>
      </c>
      <c r="C183" s="1">
        <v>42133</v>
      </c>
      <c r="D183" s="1">
        <v>42256</v>
      </c>
      <c r="E183">
        <v>123</v>
      </c>
      <c r="F183" t="s">
        <v>1176</v>
      </c>
      <c r="G183" t="s">
        <v>1177</v>
      </c>
      <c r="H183" t="s">
        <v>29</v>
      </c>
      <c r="I183" t="s">
        <v>44</v>
      </c>
      <c r="J183" t="s">
        <v>31</v>
      </c>
      <c r="K183" t="s">
        <v>205</v>
      </c>
      <c r="L183" t="s">
        <v>423</v>
      </c>
      <c r="M183" t="s">
        <v>47</v>
      </c>
      <c r="N183" t="s">
        <v>1178</v>
      </c>
      <c r="O183" t="s">
        <v>1179</v>
      </c>
      <c r="P183" t="s">
        <v>37</v>
      </c>
      <c r="Q183" t="s">
        <v>38</v>
      </c>
      <c r="R183" t="s">
        <v>1180</v>
      </c>
      <c r="S183">
        <v>411.33199999999999</v>
      </c>
      <c r="T183">
        <v>-4.8391999999999999</v>
      </c>
      <c r="U183">
        <v>-1.1764705882352941E-2</v>
      </c>
      <c r="V183">
        <v>4</v>
      </c>
      <c r="W183">
        <v>0.15</v>
      </c>
      <c r="X183">
        <v>2015</v>
      </c>
      <c r="Y183">
        <v>5</v>
      </c>
      <c r="Z183" t="s">
        <v>53</v>
      </c>
    </row>
    <row r="184" spans="1:26" x14ac:dyDescent="0.35">
      <c r="A184">
        <v>1792</v>
      </c>
      <c r="B184" t="s">
        <v>1181</v>
      </c>
      <c r="C184" s="1">
        <v>41651</v>
      </c>
      <c r="D184" s="1">
        <v>41710</v>
      </c>
      <c r="E184">
        <v>59</v>
      </c>
      <c r="F184" t="s">
        <v>1182</v>
      </c>
      <c r="G184" t="s">
        <v>1183</v>
      </c>
      <c r="H184" t="s">
        <v>29</v>
      </c>
      <c r="I184" t="s">
        <v>58</v>
      </c>
      <c r="J184" t="s">
        <v>31</v>
      </c>
      <c r="K184" t="s">
        <v>197</v>
      </c>
      <c r="L184" t="s">
        <v>1184</v>
      </c>
      <c r="M184" t="s">
        <v>61</v>
      </c>
      <c r="N184" t="s">
        <v>1185</v>
      </c>
      <c r="O184" t="s">
        <v>1186</v>
      </c>
      <c r="P184" t="s">
        <v>37</v>
      </c>
      <c r="Q184" t="s">
        <v>320</v>
      </c>
      <c r="R184" t="s">
        <v>1187</v>
      </c>
      <c r="S184">
        <v>2807.84</v>
      </c>
      <c r="T184">
        <v>673.88160000000005</v>
      </c>
      <c r="U184">
        <v>0.24</v>
      </c>
      <c r="V184">
        <v>8</v>
      </c>
      <c r="W184">
        <v>0</v>
      </c>
      <c r="X184">
        <v>2014</v>
      </c>
      <c r="Y184">
        <v>1</v>
      </c>
      <c r="Z184" t="s">
        <v>147</v>
      </c>
    </row>
    <row r="185" spans="1:26" x14ac:dyDescent="0.35">
      <c r="A185">
        <v>1816</v>
      </c>
      <c r="B185" t="s">
        <v>1188</v>
      </c>
      <c r="C185" s="1">
        <v>42100</v>
      </c>
      <c r="D185" s="1">
        <v>42100</v>
      </c>
      <c r="E185">
        <v>0</v>
      </c>
      <c r="F185" t="s">
        <v>1189</v>
      </c>
      <c r="G185" t="s">
        <v>1190</v>
      </c>
      <c r="H185" t="s">
        <v>29</v>
      </c>
      <c r="I185" t="s">
        <v>543</v>
      </c>
      <c r="J185" t="s">
        <v>31</v>
      </c>
      <c r="K185" t="s">
        <v>45</v>
      </c>
      <c r="L185" t="s">
        <v>46</v>
      </c>
      <c r="M185" t="s">
        <v>47</v>
      </c>
      <c r="N185" t="s">
        <v>378</v>
      </c>
      <c r="O185" t="s">
        <v>1191</v>
      </c>
      <c r="P185" t="s">
        <v>50</v>
      </c>
      <c r="Q185" t="s">
        <v>267</v>
      </c>
      <c r="R185" t="s">
        <v>1192</v>
      </c>
      <c r="S185">
        <v>7.38</v>
      </c>
      <c r="T185">
        <v>3.4685999999999999</v>
      </c>
      <c r="U185">
        <v>0.47</v>
      </c>
      <c r="V185">
        <v>2</v>
      </c>
      <c r="W185">
        <v>0</v>
      </c>
      <c r="X185">
        <v>2015</v>
      </c>
      <c r="Y185">
        <v>4</v>
      </c>
      <c r="Z185" t="s">
        <v>85</v>
      </c>
    </row>
    <row r="186" spans="1:26" x14ac:dyDescent="0.35">
      <c r="A186">
        <v>1828</v>
      </c>
      <c r="B186" t="s">
        <v>1193</v>
      </c>
      <c r="C186" s="1">
        <v>42584</v>
      </c>
      <c r="D186" s="1">
        <v>42676</v>
      </c>
      <c r="E186">
        <v>92</v>
      </c>
      <c r="F186" t="s">
        <v>1194</v>
      </c>
      <c r="G186" t="s">
        <v>1195</v>
      </c>
      <c r="H186" t="s">
        <v>107</v>
      </c>
      <c r="I186" t="s">
        <v>30</v>
      </c>
      <c r="J186" t="s">
        <v>31</v>
      </c>
      <c r="K186" t="s">
        <v>97</v>
      </c>
      <c r="L186" t="s">
        <v>1196</v>
      </c>
      <c r="M186" t="s">
        <v>34</v>
      </c>
      <c r="N186" t="s">
        <v>1197</v>
      </c>
      <c r="O186" t="s">
        <v>1198</v>
      </c>
      <c r="P186" t="s">
        <v>64</v>
      </c>
      <c r="Q186" t="s">
        <v>65</v>
      </c>
      <c r="R186" t="s">
        <v>1199</v>
      </c>
      <c r="S186">
        <v>1127.9760000000001</v>
      </c>
      <c r="T186">
        <v>126.8973</v>
      </c>
      <c r="U186">
        <v>0.11249999999999999</v>
      </c>
      <c r="V186">
        <v>3</v>
      </c>
      <c r="W186">
        <v>0.2</v>
      </c>
      <c r="X186">
        <v>2016</v>
      </c>
      <c r="Y186">
        <v>8</v>
      </c>
      <c r="Z186" t="s">
        <v>40</v>
      </c>
    </row>
    <row r="187" spans="1:26" x14ac:dyDescent="0.35">
      <c r="A187">
        <v>1834</v>
      </c>
      <c r="B187" t="s">
        <v>1200</v>
      </c>
      <c r="C187" s="1">
        <v>42743</v>
      </c>
      <c r="D187" s="1">
        <v>42924</v>
      </c>
      <c r="E187">
        <v>181</v>
      </c>
      <c r="F187" t="s">
        <v>958</v>
      </c>
      <c r="G187" t="s">
        <v>959</v>
      </c>
      <c r="H187" t="s">
        <v>57</v>
      </c>
      <c r="I187" t="s">
        <v>44</v>
      </c>
      <c r="J187" t="s">
        <v>31</v>
      </c>
      <c r="K187" t="s">
        <v>59</v>
      </c>
      <c r="L187" t="s">
        <v>904</v>
      </c>
      <c r="M187" t="s">
        <v>61</v>
      </c>
      <c r="N187" t="s">
        <v>905</v>
      </c>
      <c r="O187" t="s">
        <v>1201</v>
      </c>
      <c r="P187" t="s">
        <v>64</v>
      </c>
      <c r="Q187" t="s">
        <v>353</v>
      </c>
      <c r="R187" t="s">
        <v>1202</v>
      </c>
      <c r="S187">
        <v>1439.982</v>
      </c>
      <c r="T187">
        <v>-263.99669999999998</v>
      </c>
      <c r="U187">
        <v>-0.18333333333333332</v>
      </c>
      <c r="V187">
        <v>3</v>
      </c>
      <c r="W187">
        <v>0.4</v>
      </c>
      <c r="X187">
        <v>2017</v>
      </c>
      <c r="Y187">
        <v>1</v>
      </c>
      <c r="Z187" t="s">
        <v>147</v>
      </c>
    </row>
    <row r="188" spans="1:26" x14ac:dyDescent="0.35">
      <c r="A188">
        <v>1843</v>
      </c>
      <c r="B188" t="s">
        <v>1203</v>
      </c>
      <c r="C188" s="1">
        <v>42249</v>
      </c>
      <c r="D188" s="1">
        <v>42310</v>
      </c>
      <c r="E188">
        <v>61</v>
      </c>
      <c r="F188" t="s">
        <v>1204</v>
      </c>
      <c r="G188" t="s">
        <v>1205</v>
      </c>
      <c r="H188" t="s">
        <v>57</v>
      </c>
      <c r="I188" t="s">
        <v>30</v>
      </c>
      <c r="J188" t="s">
        <v>31</v>
      </c>
      <c r="K188" t="s">
        <v>59</v>
      </c>
      <c r="L188" t="s">
        <v>221</v>
      </c>
      <c r="M188" t="s">
        <v>61</v>
      </c>
      <c r="N188" t="s">
        <v>222</v>
      </c>
      <c r="O188" t="s">
        <v>1206</v>
      </c>
      <c r="P188" t="s">
        <v>50</v>
      </c>
      <c r="Q188" t="s">
        <v>267</v>
      </c>
      <c r="R188" t="s">
        <v>1207</v>
      </c>
      <c r="S188">
        <v>40.095999999999997</v>
      </c>
      <c r="T188">
        <v>13.532400000000001</v>
      </c>
      <c r="U188">
        <v>0.33750000000000008</v>
      </c>
      <c r="V188">
        <v>4</v>
      </c>
      <c r="W188">
        <v>0.2</v>
      </c>
      <c r="X188">
        <v>2015</v>
      </c>
      <c r="Y188">
        <v>9</v>
      </c>
      <c r="Z188" t="s">
        <v>93</v>
      </c>
    </row>
    <row r="189" spans="1:26" x14ac:dyDescent="0.35">
      <c r="A189">
        <v>1866</v>
      </c>
      <c r="B189" t="s">
        <v>1208</v>
      </c>
      <c r="C189" s="1">
        <v>43080</v>
      </c>
      <c r="D189" s="1">
        <v>43080</v>
      </c>
      <c r="E189">
        <v>0</v>
      </c>
      <c r="F189" t="s">
        <v>1209</v>
      </c>
      <c r="G189" t="s">
        <v>1210</v>
      </c>
      <c r="H189" t="s">
        <v>57</v>
      </c>
      <c r="I189" t="s">
        <v>543</v>
      </c>
      <c r="J189" t="s">
        <v>31</v>
      </c>
      <c r="K189" t="s">
        <v>181</v>
      </c>
      <c r="L189" t="s">
        <v>1078</v>
      </c>
      <c r="M189" t="s">
        <v>126</v>
      </c>
      <c r="N189" t="s">
        <v>1211</v>
      </c>
      <c r="O189" t="s">
        <v>1212</v>
      </c>
      <c r="P189" t="s">
        <v>64</v>
      </c>
      <c r="Q189" t="s">
        <v>65</v>
      </c>
      <c r="R189" t="s">
        <v>1213</v>
      </c>
      <c r="S189">
        <v>370.78199999999998</v>
      </c>
      <c r="T189">
        <v>-92.695499999999996</v>
      </c>
      <c r="U189">
        <v>-0.25</v>
      </c>
      <c r="V189">
        <v>3</v>
      </c>
      <c r="W189">
        <v>0.4</v>
      </c>
      <c r="X189">
        <v>2017</v>
      </c>
      <c r="Y189">
        <v>12</v>
      </c>
      <c r="Z189" t="s">
        <v>795</v>
      </c>
    </row>
    <row r="190" spans="1:26" x14ac:dyDescent="0.35">
      <c r="A190">
        <v>1881</v>
      </c>
      <c r="B190" t="s">
        <v>1214</v>
      </c>
      <c r="C190" s="1">
        <v>42127</v>
      </c>
      <c r="D190" s="1">
        <v>42127</v>
      </c>
      <c r="E190">
        <v>0</v>
      </c>
      <c r="F190" t="s">
        <v>1215</v>
      </c>
      <c r="G190" t="s">
        <v>1216</v>
      </c>
      <c r="H190" t="s">
        <v>29</v>
      </c>
      <c r="I190" t="s">
        <v>543</v>
      </c>
      <c r="J190" t="s">
        <v>31</v>
      </c>
      <c r="K190" t="s">
        <v>124</v>
      </c>
      <c r="L190" t="s">
        <v>125</v>
      </c>
      <c r="M190" t="s">
        <v>126</v>
      </c>
      <c r="N190" t="s">
        <v>740</v>
      </c>
      <c r="O190" t="s">
        <v>1217</v>
      </c>
      <c r="P190" t="s">
        <v>50</v>
      </c>
      <c r="Q190" t="s">
        <v>101</v>
      </c>
      <c r="R190" t="s">
        <v>699</v>
      </c>
      <c r="S190">
        <v>29.34</v>
      </c>
      <c r="T190">
        <v>14.67</v>
      </c>
      <c r="U190">
        <v>0.5</v>
      </c>
      <c r="V190">
        <v>3</v>
      </c>
      <c r="W190">
        <v>0</v>
      </c>
      <c r="X190">
        <v>2015</v>
      </c>
      <c r="Y190">
        <v>5</v>
      </c>
      <c r="Z190" t="s">
        <v>53</v>
      </c>
    </row>
    <row r="191" spans="1:26" x14ac:dyDescent="0.35">
      <c r="A191">
        <v>1895</v>
      </c>
      <c r="B191" t="s">
        <v>1218</v>
      </c>
      <c r="C191" s="1">
        <v>42778</v>
      </c>
      <c r="D191" s="1">
        <v>42867</v>
      </c>
      <c r="E191">
        <v>89</v>
      </c>
      <c r="F191" t="s">
        <v>1219</v>
      </c>
      <c r="G191" t="s">
        <v>1220</v>
      </c>
      <c r="H191" t="s">
        <v>29</v>
      </c>
      <c r="I191" t="s">
        <v>58</v>
      </c>
      <c r="J191" t="s">
        <v>31</v>
      </c>
      <c r="K191" t="s">
        <v>79</v>
      </c>
      <c r="L191" t="s">
        <v>1221</v>
      </c>
      <c r="M191" t="s">
        <v>34</v>
      </c>
      <c r="N191" t="s">
        <v>1222</v>
      </c>
      <c r="O191" t="s">
        <v>1223</v>
      </c>
      <c r="P191" t="s">
        <v>50</v>
      </c>
      <c r="Q191" t="s">
        <v>74</v>
      </c>
      <c r="R191" t="s">
        <v>1224</v>
      </c>
      <c r="S191">
        <v>34.65</v>
      </c>
      <c r="T191">
        <v>10.395</v>
      </c>
      <c r="U191">
        <v>0.3</v>
      </c>
      <c r="V191">
        <v>3</v>
      </c>
      <c r="W191">
        <v>0</v>
      </c>
      <c r="X191">
        <v>2017</v>
      </c>
      <c r="Y191">
        <v>2</v>
      </c>
      <c r="Z191" t="s">
        <v>162</v>
      </c>
    </row>
    <row r="192" spans="1:26" x14ac:dyDescent="0.35">
      <c r="A192">
        <v>1897</v>
      </c>
      <c r="B192" t="s">
        <v>1225</v>
      </c>
      <c r="C192" s="1">
        <v>42804</v>
      </c>
      <c r="D192" s="1">
        <v>42896</v>
      </c>
      <c r="E192">
        <v>92</v>
      </c>
      <c r="F192" t="s">
        <v>1226</v>
      </c>
      <c r="G192" t="s">
        <v>1227</v>
      </c>
      <c r="H192" t="s">
        <v>29</v>
      </c>
      <c r="I192" t="s">
        <v>58</v>
      </c>
      <c r="J192" t="s">
        <v>31</v>
      </c>
      <c r="K192" t="s">
        <v>134</v>
      </c>
      <c r="L192" t="s">
        <v>1228</v>
      </c>
      <c r="M192" t="s">
        <v>61</v>
      </c>
      <c r="N192" t="s">
        <v>1229</v>
      </c>
      <c r="O192" t="s">
        <v>1230</v>
      </c>
      <c r="P192" t="s">
        <v>50</v>
      </c>
      <c r="Q192" t="s">
        <v>51</v>
      </c>
      <c r="R192" t="s">
        <v>1231</v>
      </c>
      <c r="S192">
        <v>1793.98</v>
      </c>
      <c r="T192">
        <v>843.17060000000004</v>
      </c>
      <c r="U192">
        <v>0.47000000000000003</v>
      </c>
      <c r="V192">
        <v>2</v>
      </c>
      <c r="W192">
        <v>0</v>
      </c>
      <c r="X192">
        <v>2017</v>
      </c>
      <c r="Y192">
        <v>3</v>
      </c>
      <c r="Z192" t="s">
        <v>103</v>
      </c>
    </row>
    <row r="193" spans="1:26" x14ac:dyDescent="0.35">
      <c r="A193">
        <v>1909</v>
      </c>
      <c r="B193" t="s">
        <v>1232</v>
      </c>
      <c r="C193" s="1">
        <v>42065</v>
      </c>
      <c r="D193" s="1">
        <v>42096</v>
      </c>
      <c r="E193">
        <v>31</v>
      </c>
      <c r="F193" t="s">
        <v>1233</v>
      </c>
      <c r="G193" t="s">
        <v>1234</v>
      </c>
      <c r="H193" t="s">
        <v>57</v>
      </c>
      <c r="I193" t="s">
        <v>58</v>
      </c>
      <c r="J193" t="s">
        <v>31</v>
      </c>
      <c r="K193" t="s">
        <v>205</v>
      </c>
      <c r="L193" t="s">
        <v>206</v>
      </c>
      <c r="M193" t="s">
        <v>47</v>
      </c>
      <c r="N193" t="s">
        <v>491</v>
      </c>
      <c r="O193" t="s">
        <v>1235</v>
      </c>
      <c r="P193" t="s">
        <v>37</v>
      </c>
      <c r="Q193" t="s">
        <v>129</v>
      </c>
      <c r="R193" t="s">
        <v>1236</v>
      </c>
      <c r="S193">
        <v>136.91999999999999</v>
      </c>
      <c r="T193">
        <v>41.076000000000001</v>
      </c>
      <c r="U193">
        <v>0.30000000000000004</v>
      </c>
      <c r="V193">
        <v>4</v>
      </c>
      <c r="W193">
        <v>0</v>
      </c>
      <c r="X193">
        <v>2015</v>
      </c>
      <c r="Y193">
        <v>3</v>
      </c>
      <c r="Z193" t="s">
        <v>103</v>
      </c>
    </row>
    <row r="194" spans="1:26" x14ac:dyDescent="0.35">
      <c r="A194">
        <v>1912</v>
      </c>
      <c r="B194" t="s">
        <v>1237</v>
      </c>
      <c r="C194" s="1">
        <v>42801</v>
      </c>
      <c r="D194" s="1">
        <v>42893</v>
      </c>
      <c r="E194">
        <v>92</v>
      </c>
      <c r="F194" t="s">
        <v>1238</v>
      </c>
      <c r="G194" t="s">
        <v>1239</v>
      </c>
      <c r="H194" t="s">
        <v>57</v>
      </c>
      <c r="I194" t="s">
        <v>30</v>
      </c>
      <c r="J194" t="s">
        <v>31</v>
      </c>
      <c r="K194" t="s">
        <v>59</v>
      </c>
      <c r="L194" t="s">
        <v>89</v>
      </c>
      <c r="M194" t="s">
        <v>61</v>
      </c>
      <c r="N194" t="s">
        <v>90</v>
      </c>
      <c r="O194" t="s">
        <v>1240</v>
      </c>
      <c r="P194" t="s">
        <v>50</v>
      </c>
      <c r="Q194" t="s">
        <v>83</v>
      </c>
      <c r="R194" t="s">
        <v>1241</v>
      </c>
      <c r="S194">
        <v>273.89600000000002</v>
      </c>
      <c r="T194">
        <v>92.439899999999994</v>
      </c>
      <c r="U194">
        <v>0.33749999999999997</v>
      </c>
      <c r="V194">
        <v>7</v>
      </c>
      <c r="W194">
        <v>0.2</v>
      </c>
      <c r="X194">
        <v>2017</v>
      </c>
      <c r="Y194">
        <v>3</v>
      </c>
      <c r="Z194" t="s">
        <v>103</v>
      </c>
    </row>
    <row r="195" spans="1:26" x14ac:dyDescent="0.35">
      <c r="A195">
        <v>1922</v>
      </c>
      <c r="B195" t="s">
        <v>1242</v>
      </c>
      <c r="C195" s="1">
        <v>42073</v>
      </c>
      <c r="D195" s="1">
        <v>42257</v>
      </c>
      <c r="E195">
        <v>184</v>
      </c>
      <c r="F195" t="s">
        <v>1243</v>
      </c>
      <c r="G195" t="s">
        <v>1244</v>
      </c>
      <c r="H195" t="s">
        <v>57</v>
      </c>
      <c r="I195" t="s">
        <v>44</v>
      </c>
      <c r="J195" t="s">
        <v>31</v>
      </c>
      <c r="K195" t="s">
        <v>189</v>
      </c>
      <c r="L195" t="s">
        <v>1245</v>
      </c>
      <c r="M195" t="s">
        <v>126</v>
      </c>
      <c r="N195" t="s">
        <v>1246</v>
      </c>
      <c r="O195" t="s">
        <v>1247</v>
      </c>
      <c r="P195" t="s">
        <v>50</v>
      </c>
      <c r="Q195" t="s">
        <v>110</v>
      </c>
      <c r="R195" t="s">
        <v>1248</v>
      </c>
      <c r="S195">
        <v>15.007999999999999</v>
      </c>
      <c r="T195">
        <v>1.5007999999999999</v>
      </c>
      <c r="U195">
        <v>0.1</v>
      </c>
      <c r="V195">
        <v>2</v>
      </c>
      <c r="W195">
        <v>0.2</v>
      </c>
      <c r="X195">
        <v>2015</v>
      </c>
      <c r="Y195">
        <v>3</v>
      </c>
      <c r="Z195" t="s">
        <v>103</v>
      </c>
    </row>
    <row r="196" spans="1:26" x14ac:dyDescent="0.35">
      <c r="A196">
        <v>1923</v>
      </c>
      <c r="B196" t="s">
        <v>1249</v>
      </c>
      <c r="C196" s="1">
        <v>42589</v>
      </c>
      <c r="D196" s="1">
        <v>42650</v>
      </c>
      <c r="E196">
        <v>61</v>
      </c>
      <c r="F196" t="s">
        <v>1250</v>
      </c>
      <c r="G196" t="s">
        <v>1251</v>
      </c>
      <c r="H196" t="s">
        <v>57</v>
      </c>
      <c r="I196" t="s">
        <v>30</v>
      </c>
      <c r="J196" t="s">
        <v>31</v>
      </c>
      <c r="K196" t="s">
        <v>59</v>
      </c>
      <c r="L196" t="s">
        <v>1252</v>
      </c>
      <c r="M196" t="s">
        <v>61</v>
      </c>
      <c r="N196" t="s">
        <v>1253</v>
      </c>
      <c r="O196" t="s">
        <v>1254</v>
      </c>
      <c r="P196" t="s">
        <v>64</v>
      </c>
      <c r="Q196" t="s">
        <v>65</v>
      </c>
      <c r="R196" t="s">
        <v>1255</v>
      </c>
      <c r="S196">
        <v>863.64</v>
      </c>
      <c r="T196">
        <v>107.955</v>
      </c>
      <c r="U196">
        <v>0.125</v>
      </c>
      <c r="V196">
        <v>9</v>
      </c>
      <c r="W196">
        <v>0.2</v>
      </c>
      <c r="X196">
        <v>2016</v>
      </c>
      <c r="Y196">
        <v>8</v>
      </c>
      <c r="Z196" t="s">
        <v>40</v>
      </c>
    </row>
    <row r="197" spans="1:26" x14ac:dyDescent="0.35">
      <c r="A197">
        <v>1933</v>
      </c>
      <c r="B197" t="s">
        <v>1256</v>
      </c>
      <c r="C197" s="1">
        <v>42894</v>
      </c>
      <c r="D197" s="1">
        <v>43016</v>
      </c>
      <c r="E197">
        <v>122</v>
      </c>
      <c r="F197" t="s">
        <v>1257</v>
      </c>
      <c r="G197" t="s">
        <v>1258</v>
      </c>
      <c r="H197" t="s">
        <v>29</v>
      </c>
      <c r="I197" t="s">
        <v>30</v>
      </c>
      <c r="J197" t="s">
        <v>31</v>
      </c>
      <c r="K197" t="s">
        <v>1259</v>
      </c>
      <c r="L197" t="s">
        <v>1260</v>
      </c>
      <c r="M197" t="s">
        <v>34</v>
      </c>
      <c r="N197" t="s">
        <v>1261</v>
      </c>
      <c r="O197" t="s">
        <v>1262</v>
      </c>
      <c r="P197" t="s">
        <v>37</v>
      </c>
      <c r="Q197" t="s">
        <v>38</v>
      </c>
      <c r="R197" t="s">
        <v>1263</v>
      </c>
      <c r="S197">
        <v>145.74</v>
      </c>
      <c r="T197">
        <v>23.3184</v>
      </c>
      <c r="U197">
        <v>0.16</v>
      </c>
      <c r="V197">
        <v>3</v>
      </c>
      <c r="W197">
        <v>0</v>
      </c>
      <c r="X197">
        <v>2017</v>
      </c>
      <c r="Y197">
        <v>6</v>
      </c>
      <c r="Z197" t="s">
        <v>120</v>
      </c>
    </row>
    <row r="198" spans="1:26" x14ac:dyDescent="0.35">
      <c r="A198">
        <v>1938</v>
      </c>
      <c r="B198" t="s">
        <v>1264</v>
      </c>
      <c r="C198" s="1">
        <v>42589</v>
      </c>
      <c r="D198" s="1">
        <v>42711</v>
      </c>
      <c r="E198">
        <v>122</v>
      </c>
      <c r="F198" t="s">
        <v>1265</v>
      </c>
      <c r="G198" t="s">
        <v>1266</v>
      </c>
      <c r="H198" t="s">
        <v>29</v>
      </c>
      <c r="I198" t="s">
        <v>44</v>
      </c>
      <c r="J198" t="s">
        <v>31</v>
      </c>
      <c r="K198" t="s">
        <v>242</v>
      </c>
      <c r="L198" t="s">
        <v>1267</v>
      </c>
      <c r="M198" t="s">
        <v>47</v>
      </c>
      <c r="N198" t="s">
        <v>1268</v>
      </c>
      <c r="O198" t="s">
        <v>1269</v>
      </c>
      <c r="P198" t="s">
        <v>50</v>
      </c>
      <c r="Q198" t="s">
        <v>51</v>
      </c>
      <c r="R198" t="s">
        <v>1270</v>
      </c>
      <c r="S198">
        <v>19.968</v>
      </c>
      <c r="T198">
        <v>-13.311999999999999</v>
      </c>
      <c r="U198">
        <v>-0.66666666666666663</v>
      </c>
      <c r="V198">
        <v>2</v>
      </c>
      <c r="W198">
        <v>0.7</v>
      </c>
      <c r="X198">
        <v>2016</v>
      </c>
      <c r="Y198">
        <v>8</v>
      </c>
      <c r="Z198" t="s">
        <v>40</v>
      </c>
    </row>
    <row r="199" spans="1:26" x14ac:dyDescent="0.35">
      <c r="A199">
        <v>1971</v>
      </c>
      <c r="B199" t="s">
        <v>1271</v>
      </c>
      <c r="C199" s="1">
        <v>42891</v>
      </c>
      <c r="D199" s="1">
        <v>43044</v>
      </c>
      <c r="E199">
        <v>153</v>
      </c>
      <c r="F199" t="s">
        <v>1272</v>
      </c>
      <c r="G199" t="s">
        <v>1273</v>
      </c>
      <c r="H199" t="s">
        <v>107</v>
      </c>
      <c r="I199" t="s">
        <v>44</v>
      </c>
      <c r="J199" t="s">
        <v>31</v>
      </c>
      <c r="K199" t="s">
        <v>234</v>
      </c>
      <c r="L199" t="s">
        <v>280</v>
      </c>
      <c r="M199" t="s">
        <v>61</v>
      </c>
      <c r="N199" t="s">
        <v>1274</v>
      </c>
      <c r="O199" t="s">
        <v>1275</v>
      </c>
      <c r="P199" t="s">
        <v>50</v>
      </c>
      <c r="Q199" t="s">
        <v>74</v>
      </c>
      <c r="R199" t="s">
        <v>1276</v>
      </c>
      <c r="S199">
        <v>6.4080000000000004</v>
      </c>
      <c r="T199">
        <v>0.64080000000000004</v>
      </c>
      <c r="U199">
        <v>0.1</v>
      </c>
      <c r="V199">
        <v>3</v>
      </c>
      <c r="W199">
        <v>0.2</v>
      </c>
      <c r="X199">
        <v>2017</v>
      </c>
      <c r="Y199">
        <v>6</v>
      </c>
      <c r="Z199" t="s">
        <v>120</v>
      </c>
    </row>
    <row r="200" spans="1:26" x14ac:dyDescent="0.35">
      <c r="A200">
        <v>1979</v>
      </c>
      <c r="B200" t="s">
        <v>1277</v>
      </c>
      <c r="C200" s="1">
        <v>42221</v>
      </c>
      <c r="D200" s="1">
        <v>42343</v>
      </c>
      <c r="E200">
        <v>122</v>
      </c>
      <c r="F200" t="s">
        <v>1278</v>
      </c>
      <c r="G200" t="s">
        <v>1279</v>
      </c>
      <c r="H200" t="s">
        <v>29</v>
      </c>
      <c r="I200" t="s">
        <v>44</v>
      </c>
      <c r="J200" t="s">
        <v>31</v>
      </c>
      <c r="K200" t="s">
        <v>115</v>
      </c>
      <c r="L200" t="s">
        <v>1018</v>
      </c>
      <c r="M200" t="s">
        <v>47</v>
      </c>
      <c r="N200" t="s">
        <v>1280</v>
      </c>
      <c r="O200" t="s">
        <v>1281</v>
      </c>
      <c r="P200" t="s">
        <v>50</v>
      </c>
      <c r="Q200" t="s">
        <v>74</v>
      </c>
      <c r="R200" t="s">
        <v>1282</v>
      </c>
      <c r="S200">
        <v>5.2480000000000002</v>
      </c>
      <c r="T200">
        <v>0.59040000000000004</v>
      </c>
      <c r="U200">
        <v>0.1125</v>
      </c>
      <c r="V200">
        <v>2</v>
      </c>
      <c r="W200">
        <v>0.2</v>
      </c>
      <c r="X200">
        <v>2015</v>
      </c>
      <c r="Y200">
        <v>8</v>
      </c>
      <c r="Z200" t="s">
        <v>40</v>
      </c>
    </row>
    <row r="201" spans="1:26" x14ac:dyDescent="0.35">
      <c r="A201">
        <v>1983</v>
      </c>
      <c r="B201" t="s">
        <v>1283</v>
      </c>
      <c r="C201" s="1">
        <v>41710</v>
      </c>
      <c r="D201" s="1">
        <v>41894</v>
      </c>
      <c r="E201">
        <v>184</v>
      </c>
      <c r="F201" t="s">
        <v>1284</v>
      </c>
      <c r="G201" t="s">
        <v>1285</v>
      </c>
      <c r="H201" t="s">
        <v>29</v>
      </c>
      <c r="I201" t="s">
        <v>44</v>
      </c>
      <c r="J201" t="s">
        <v>31</v>
      </c>
      <c r="K201" t="s">
        <v>1286</v>
      </c>
      <c r="L201" t="s">
        <v>1287</v>
      </c>
      <c r="M201" t="s">
        <v>61</v>
      </c>
      <c r="N201" t="s">
        <v>1288</v>
      </c>
      <c r="O201" t="s">
        <v>1289</v>
      </c>
      <c r="P201" t="s">
        <v>64</v>
      </c>
      <c r="Q201" t="s">
        <v>65</v>
      </c>
      <c r="R201" t="s">
        <v>1290</v>
      </c>
      <c r="S201">
        <v>479.96</v>
      </c>
      <c r="T201">
        <v>134.3888</v>
      </c>
      <c r="U201">
        <v>0.28000000000000003</v>
      </c>
      <c r="V201">
        <v>4</v>
      </c>
      <c r="W201">
        <v>0</v>
      </c>
      <c r="X201">
        <v>2014</v>
      </c>
      <c r="Y201">
        <v>3</v>
      </c>
      <c r="Z201" t="s">
        <v>103</v>
      </c>
    </row>
    <row r="202" spans="1:26" x14ac:dyDescent="0.35">
      <c r="A202">
        <v>1996</v>
      </c>
      <c r="B202" t="s">
        <v>1291</v>
      </c>
      <c r="C202" s="1">
        <v>42778</v>
      </c>
      <c r="D202" s="1">
        <v>42837</v>
      </c>
      <c r="E202">
        <v>59</v>
      </c>
      <c r="F202" t="s">
        <v>1292</v>
      </c>
      <c r="G202" t="s">
        <v>1293</v>
      </c>
      <c r="H202" t="s">
        <v>29</v>
      </c>
      <c r="I202" t="s">
        <v>30</v>
      </c>
      <c r="J202" t="s">
        <v>31</v>
      </c>
      <c r="K202" t="s">
        <v>59</v>
      </c>
      <c r="L202" t="s">
        <v>89</v>
      </c>
      <c r="M202" t="s">
        <v>61</v>
      </c>
      <c r="N202" t="s">
        <v>365</v>
      </c>
      <c r="O202" t="s">
        <v>1294</v>
      </c>
      <c r="P202" t="s">
        <v>50</v>
      </c>
      <c r="Q202" t="s">
        <v>138</v>
      </c>
      <c r="R202" t="s">
        <v>1295</v>
      </c>
      <c r="S202">
        <v>294.62</v>
      </c>
      <c r="T202">
        <v>-766.01199999999994</v>
      </c>
      <c r="U202">
        <v>-2.5999999999999996</v>
      </c>
      <c r="V202">
        <v>5</v>
      </c>
      <c r="W202">
        <v>0.8</v>
      </c>
      <c r="X202">
        <v>2017</v>
      </c>
      <c r="Y202">
        <v>2</v>
      </c>
      <c r="Z202" t="s">
        <v>162</v>
      </c>
    </row>
    <row r="203" spans="1:26" x14ac:dyDescent="0.35">
      <c r="A203">
        <v>2008</v>
      </c>
      <c r="B203" t="s">
        <v>1296</v>
      </c>
      <c r="C203" s="1">
        <v>42802</v>
      </c>
      <c r="D203" s="1">
        <v>42833</v>
      </c>
      <c r="E203">
        <v>31</v>
      </c>
      <c r="F203" t="s">
        <v>1101</v>
      </c>
      <c r="G203" t="s">
        <v>1102</v>
      </c>
      <c r="H203" t="s">
        <v>29</v>
      </c>
      <c r="I203" t="s">
        <v>58</v>
      </c>
      <c r="J203" t="s">
        <v>31</v>
      </c>
      <c r="K203" t="s">
        <v>234</v>
      </c>
      <c r="L203" t="s">
        <v>280</v>
      </c>
      <c r="M203" t="s">
        <v>61</v>
      </c>
      <c r="N203" t="s">
        <v>1274</v>
      </c>
      <c r="O203" t="s">
        <v>1297</v>
      </c>
      <c r="P203" t="s">
        <v>37</v>
      </c>
      <c r="Q203" t="s">
        <v>38</v>
      </c>
      <c r="R203" t="s">
        <v>1298</v>
      </c>
      <c r="S203">
        <v>183.37200000000001</v>
      </c>
      <c r="T203">
        <v>-36.674399999999999</v>
      </c>
      <c r="U203">
        <v>-0.19999999999999998</v>
      </c>
      <c r="V203">
        <v>2</v>
      </c>
      <c r="W203">
        <v>0.3</v>
      </c>
      <c r="X203">
        <v>2017</v>
      </c>
      <c r="Y203">
        <v>3</v>
      </c>
      <c r="Z203" t="s">
        <v>103</v>
      </c>
    </row>
    <row r="204" spans="1:26" x14ac:dyDescent="0.35">
      <c r="A204">
        <v>2012</v>
      </c>
      <c r="B204" t="s">
        <v>1299</v>
      </c>
      <c r="C204" s="1">
        <v>42320</v>
      </c>
      <c r="D204" s="1">
        <v>42320</v>
      </c>
      <c r="E204">
        <v>0</v>
      </c>
      <c r="F204" t="s">
        <v>1300</v>
      </c>
      <c r="G204" t="s">
        <v>1301</v>
      </c>
      <c r="H204" t="s">
        <v>29</v>
      </c>
      <c r="I204" t="s">
        <v>543</v>
      </c>
      <c r="J204" t="s">
        <v>31</v>
      </c>
      <c r="K204" t="s">
        <v>59</v>
      </c>
      <c r="L204" t="s">
        <v>89</v>
      </c>
      <c r="M204" t="s">
        <v>61</v>
      </c>
      <c r="N204" t="s">
        <v>90</v>
      </c>
      <c r="O204" t="s">
        <v>1302</v>
      </c>
      <c r="P204" t="s">
        <v>64</v>
      </c>
      <c r="Q204" t="s">
        <v>288</v>
      </c>
      <c r="R204" t="s">
        <v>1303</v>
      </c>
      <c r="S204">
        <v>159.98400000000001</v>
      </c>
      <c r="T204">
        <v>35.996400000000001</v>
      </c>
      <c r="U204">
        <v>0.22500000000000001</v>
      </c>
      <c r="V204">
        <v>2</v>
      </c>
      <c r="W204">
        <v>0.2</v>
      </c>
      <c r="X204">
        <v>2015</v>
      </c>
      <c r="Y204">
        <v>11</v>
      </c>
      <c r="Z204" t="s">
        <v>210</v>
      </c>
    </row>
    <row r="205" spans="1:26" x14ac:dyDescent="0.35">
      <c r="A205">
        <v>2027</v>
      </c>
      <c r="B205" t="s">
        <v>1304</v>
      </c>
      <c r="C205" s="1">
        <v>42591</v>
      </c>
      <c r="D205" s="1">
        <v>42652</v>
      </c>
      <c r="E205">
        <v>61</v>
      </c>
      <c r="F205" t="s">
        <v>1305</v>
      </c>
      <c r="G205" t="s">
        <v>1306</v>
      </c>
      <c r="H205" t="s">
        <v>107</v>
      </c>
      <c r="I205" t="s">
        <v>30</v>
      </c>
      <c r="J205" t="s">
        <v>31</v>
      </c>
      <c r="K205" t="s">
        <v>205</v>
      </c>
      <c r="L205" t="s">
        <v>678</v>
      </c>
      <c r="M205" t="s">
        <v>47</v>
      </c>
      <c r="N205" t="s">
        <v>1307</v>
      </c>
      <c r="O205" t="s">
        <v>1308</v>
      </c>
      <c r="P205" t="s">
        <v>50</v>
      </c>
      <c r="Q205" t="s">
        <v>51</v>
      </c>
      <c r="R205" t="s">
        <v>1309</v>
      </c>
      <c r="S205">
        <v>33.024000000000001</v>
      </c>
      <c r="T205">
        <v>11.558400000000001</v>
      </c>
      <c r="U205">
        <v>0.35000000000000003</v>
      </c>
      <c r="V205">
        <v>2</v>
      </c>
      <c r="W205">
        <v>0.2</v>
      </c>
      <c r="X205">
        <v>2016</v>
      </c>
      <c r="Y205">
        <v>8</v>
      </c>
      <c r="Z205" t="s">
        <v>40</v>
      </c>
    </row>
    <row r="206" spans="1:26" x14ac:dyDescent="0.35">
      <c r="A206">
        <v>2043</v>
      </c>
      <c r="B206" t="s">
        <v>1310</v>
      </c>
      <c r="C206" s="1">
        <v>42045</v>
      </c>
      <c r="D206" s="1">
        <v>42226</v>
      </c>
      <c r="E206">
        <v>181</v>
      </c>
      <c r="F206" t="s">
        <v>639</v>
      </c>
      <c r="G206" t="s">
        <v>640</v>
      </c>
      <c r="H206" t="s">
        <v>57</v>
      </c>
      <c r="I206" t="s">
        <v>44</v>
      </c>
      <c r="J206" t="s">
        <v>31</v>
      </c>
      <c r="K206" t="s">
        <v>205</v>
      </c>
      <c r="L206" t="s">
        <v>423</v>
      </c>
      <c r="M206" t="s">
        <v>47</v>
      </c>
      <c r="N206" t="s">
        <v>1178</v>
      </c>
      <c r="O206" t="s">
        <v>1311</v>
      </c>
      <c r="P206" t="s">
        <v>50</v>
      </c>
      <c r="Q206" t="s">
        <v>51</v>
      </c>
      <c r="R206" t="s">
        <v>1312</v>
      </c>
      <c r="S206">
        <v>57.503999999999998</v>
      </c>
      <c r="T206">
        <v>20.1264</v>
      </c>
      <c r="U206">
        <v>0.35000000000000003</v>
      </c>
      <c r="V206">
        <v>6</v>
      </c>
      <c r="W206">
        <v>0.2</v>
      </c>
      <c r="X206">
        <v>2015</v>
      </c>
      <c r="Y206">
        <v>2</v>
      </c>
      <c r="Z206" t="s">
        <v>162</v>
      </c>
    </row>
    <row r="207" spans="1:26" x14ac:dyDescent="0.35">
      <c r="A207">
        <v>2074</v>
      </c>
      <c r="B207" t="s">
        <v>1313</v>
      </c>
      <c r="C207" s="1">
        <v>42927</v>
      </c>
      <c r="D207" s="1">
        <v>43080</v>
      </c>
      <c r="E207">
        <v>153</v>
      </c>
      <c r="F207" t="s">
        <v>1086</v>
      </c>
      <c r="G207" t="s">
        <v>1087</v>
      </c>
      <c r="H207" t="s">
        <v>107</v>
      </c>
      <c r="I207" t="s">
        <v>30</v>
      </c>
      <c r="J207" t="s">
        <v>31</v>
      </c>
      <c r="K207" t="s">
        <v>205</v>
      </c>
      <c r="L207" t="s">
        <v>1314</v>
      </c>
      <c r="M207" t="s">
        <v>47</v>
      </c>
      <c r="N207" t="s">
        <v>1315</v>
      </c>
      <c r="O207" t="s">
        <v>1316</v>
      </c>
      <c r="P207" t="s">
        <v>64</v>
      </c>
      <c r="Q207" t="s">
        <v>288</v>
      </c>
      <c r="R207" t="s">
        <v>1317</v>
      </c>
      <c r="S207">
        <v>59.97</v>
      </c>
      <c r="T207">
        <v>13.793100000000001</v>
      </c>
      <c r="U207">
        <v>0.23</v>
      </c>
      <c r="V207">
        <v>3</v>
      </c>
      <c r="W207">
        <v>0</v>
      </c>
      <c r="X207">
        <v>2017</v>
      </c>
      <c r="Y207">
        <v>7</v>
      </c>
      <c r="Z207" t="s">
        <v>217</v>
      </c>
    </row>
    <row r="208" spans="1:26" x14ac:dyDescent="0.35">
      <c r="A208">
        <v>2122</v>
      </c>
      <c r="B208" t="s">
        <v>1318</v>
      </c>
      <c r="C208" s="1">
        <v>42989</v>
      </c>
      <c r="D208" s="1">
        <v>43050</v>
      </c>
      <c r="E208">
        <v>61</v>
      </c>
      <c r="F208" t="s">
        <v>1031</v>
      </c>
      <c r="G208" t="s">
        <v>1032</v>
      </c>
      <c r="H208" t="s">
        <v>57</v>
      </c>
      <c r="I208" t="s">
        <v>58</v>
      </c>
      <c r="J208" t="s">
        <v>31</v>
      </c>
      <c r="K208" t="s">
        <v>205</v>
      </c>
      <c r="L208" t="s">
        <v>1319</v>
      </c>
      <c r="M208" t="s">
        <v>47</v>
      </c>
      <c r="N208" t="s">
        <v>1320</v>
      </c>
      <c r="O208" t="s">
        <v>1321</v>
      </c>
      <c r="P208" t="s">
        <v>37</v>
      </c>
      <c r="Q208" t="s">
        <v>320</v>
      </c>
      <c r="R208" t="s">
        <v>1322</v>
      </c>
      <c r="S208">
        <v>215.976</v>
      </c>
      <c r="T208">
        <v>-2.6997</v>
      </c>
      <c r="U208">
        <v>-1.2500000000000001E-2</v>
      </c>
      <c r="V208">
        <v>3</v>
      </c>
      <c r="W208">
        <v>0.2</v>
      </c>
      <c r="X208">
        <v>2017</v>
      </c>
      <c r="Y208">
        <v>9</v>
      </c>
      <c r="Z208" t="s">
        <v>93</v>
      </c>
    </row>
    <row r="209" spans="1:26" x14ac:dyDescent="0.35">
      <c r="A209">
        <v>2125</v>
      </c>
      <c r="B209" t="s">
        <v>1323</v>
      </c>
      <c r="C209" s="1">
        <v>42747</v>
      </c>
      <c r="D209" s="1">
        <v>42867</v>
      </c>
      <c r="E209">
        <v>120</v>
      </c>
      <c r="F209" t="s">
        <v>1324</v>
      </c>
      <c r="G209" t="s">
        <v>1325</v>
      </c>
      <c r="H209" t="s">
        <v>107</v>
      </c>
      <c r="I209" t="s">
        <v>44</v>
      </c>
      <c r="J209" t="s">
        <v>31</v>
      </c>
      <c r="K209" t="s">
        <v>189</v>
      </c>
      <c r="L209" t="s">
        <v>190</v>
      </c>
      <c r="M209" t="s">
        <v>126</v>
      </c>
      <c r="N209" t="s">
        <v>685</v>
      </c>
      <c r="O209" t="s">
        <v>1326</v>
      </c>
      <c r="P209" t="s">
        <v>50</v>
      </c>
      <c r="Q209" t="s">
        <v>101</v>
      </c>
      <c r="R209" t="s">
        <v>1327</v>
      </c>
      <c r="S209">
        <v>104.68</v>
      </c>
      <c r="T209">
        <v>35.329500000000003</v>
      </c>
      <c r="U209">
        <v>0.33750000000000002</v>
      </c>
      <c r="V209">
        <v>5</v>
      </c>
      <c r="W209">
        <v>0.2</v>
      </c>
      <c r="X209">
        <v>2017</v>
      </c>
      <c r="Y209">
        <v>1</v>
      </c>
      <c r="Z209" t="s">
        <v>147</v>
      </c>
    </row>
    <row r="210" spans="1:26" x14ac:dyDescent="0.35">
      <c r="A210">
        <v>2128</v>
      </c>
      <c r="B210" t="s">
        <v>1328</v>
      </c>
      <c r="C210" s="1">
        <v>42104</v>
      </c>
      <c r="D210" s="1">
        <v>42257</v>
      </c>
      <c r="E210">
        <v>153</v>
      </c>
      <c r="F210" t="s">
        <v>1329</v>
      </c>
      <c r="G210" t="s">
        <v>1330</v>
      </c>
      <c r="H210" t="s">
        <v>107</v>
      </c>
      <c r="I210" t="s">
        <v>44</v>
      </c>
      <c r="J210" t="s">
        <v>31</v>
      </c>
      <c r="K210" t="s">
        <v>189</v>
      </c>
      <c r="L210" t="s">
        <v>190</v>
      </c>
      <c r="M210" t="s">
        <v>126</v>
      </c>
      <c r="N210" t="s">
        <v>430</v>
      </c>
      <c r="O210" t="s">
        <v>1331</v>
      </c>
      <c r="P210" t="s">
        <v>37</v>
      </c>
      <c r="Q210" t="s">
        <v>129</v>
      </c>
      <c r="R210" t="s">
        <v>1332</v>
      </c>
      <c r="S210">
        <v>64.944000000000003</v>
      </c>
      <c r="T210">
        <v>6.4943999999999997</v>
      </c>
      <c r="U210">
        <v>9.9999999999999992E-2</v>
      </c>
      <c r="V210">
        <v>3</v>
      </c>
      <c r="W210">
        <v>0.2</v>
      </c>
      <c r="X210">
        <v>2015</v>
      </c>
      <c r="Y210">
        <v>4</v>
      </c>
      <c r="Z210" t="s">
        <v>85</v>
      </c>
    </row>
    <row r="211" spans="1:26" x14ac:dyDescent="0.35">
      <c r="A211">
        <v>2162</v>
      </c>
      <c r="B211" t="s">
        <v>1333</v>
      </c>
      <c r="C211" s="1">
        <v>42552</v>
      </c>
      <c r="D211" s="1">
        <v>42705</v>
      </c>
      <c r="E211">
        <v>153</v>
      </c>
      <c r="F211" t="s">
        <v>1334</v>
      </c>
      <c r="G211" t="s">
        <v>1335</v>
      </c>
      <c r="H211" t="s">
        <v>107</v>
      </c>
      <c r="I211" t="s">
        <v>44</v>
      </c>
      <c r="J211" t="s">
        <v>31</v>
      </c>
      <c r="K211" t="s">
        <v>205</v>
      </c>
      <c r="L211" t="s">
        <v>1336</v>
      </c>
      <c r="M211" t="s">
        <v>47</v>
      </c>
      <c r="N211" t="s">
        <v>1337</v>
      </c>
      <c r="O211" t="s">
        <v>1338</v>
      </c>
      <c r="P211" t="s">
        <v>50</v>
      </c>
      <c r="Q211" t="s">
        <v>74</v>
      </c>
      <c r="R211" t="s">
        <v>1339</v>
      </c>
      <c r="S211">
        <v>34.58</v>
      </c>
      <c r="T211">
        <v>10.0282</v>
      </c>
      <c r="U211">
        <v>0.29000000000000004</v>
      </c>
      <c r="V211">
        <v>1</v>
      </c>
      <c r="W211">
        <v>0</v>
      </c>
      <c r="X211">
        <v>2016</v>
      </c>
      <c r="Y211">
        <v>7</v>
      </c>
      <c r="Z211" t="s">
        <v>217</v>
      </c>
    </row>
    <row r="212" spans="1:26" x14ac:dyDescent="0.35">
      <c r="A212">
        <v>2173</v>
      </c>
      <c r="B212" t="s">
        <v>1340</v>
      </c>
      <c r="C212" s="1">
        <v>41647</v>
      </c>
      <c r="D212" s="1">
        <v>41706</v>
      </c>
      <c r="E212">
        <v>59</v>
      </c>
      <c r="F212" t="s">
        <v>1341</v>
      </c>
      <c r="G212" t="s">
        <v>1342</v>
      </c>
      <c r="H212" t="s">
        <v>29</v>
      </c>
      <c r="I212" t="s">
        <v>58</v>
      </c>
      <c r="J212" t="s">
        <v>31</v>
      </c>
      <c r="K212" t="s">
        <v>205</v>
      </c>
      <c r="L212" t="s">
        <v>371</v>
      </c>
      <c r="M212" t="s">
        <v>47</v>
      </c>
      <c r="N212" t="s">
        <v>691</v>
      </c>
      <c r="O212" t="s">
        <v>1343</v>
      </c>
      <c r="P212" t="s">
        <v>50</v>
      </c>
      <c r="Q212" t="s">
        <v>51</v>
      </c>
      <c r="R212" t="s">
        <v>1344</v>
      </c>
      <c r="S212">
        <v>19.751999999999999</v>
      </c>
      <c r="T212">
        <v>6.9131999999999998</v>
      </c>
      <c r="U212">
        <v>0.35000000000000003</v>
      </c>
      <c r="V212">
        <v>3</v>
      </c>
      <c r="W212">
        <v>0.2</v>
      </c>
      <c r="X212">
        <v>2014</v>
      </c>
      <c r="Y212">
        <v>1</v>
      </c>
      <c r="Z212" t="s">
        <v>147</v>
      </c>
    </row>
    <row r="213" spans="1:26" x14ac:dyDescent="0.35">
      <c r="A213">
        <v>2180</v>
      </c>
      <c r="B213" t="s">
        <v>1345</v>
      </c>
      <c r="C213" s="1">
        <v>42556</v>
      </c>
      <c r="D213" s="1">
        <v>42679</v>
      </c>
      <c r="E213">
        <v>123</v>
      </c>
      <c r="F213" t="s">
        <v>1346</v>
      </c>
      <c r="G213" t="s">
        <v>1347</v>
      </c>
      <c r="H213" t="s">
        <v>29</v>
      </c>
      <c r="I213" t="s">
        <v>44</v>
      </c>
      <c r="J213" t="s">
        <v>31</v>
      </c>
      <c r="K213" t="s">
        <v>124</v>
      </c>
      <c r="L213" t="s">
        <v>125</v>
      </c>
      <c r="M213" t="s">
        <v>126</v>
      </c>
      <c r="N213" t="s">
        <v>127</v>
      </c>
      <c r="O213" t="s">
        <v>1348</v>
      </c>
      <c r="P213" t="s">
        <v>50</v>
      </c>
      <c r="Q213" t="s">
        <v>51</v>
      </c>
      <c r="R213" t="s">
        <v>1349</v>
      </c>
      <c r="S213">
        <v>85.231999999999999</v>
      </c>
      <c r="T213">
        <v>30.896599999999999</v>
      </c>
      <c r="U213">
        <v>0.36249999999999999</v>
      </c>
      <c r="V213">
        <v>7</v>
      </c>
      <c r="W213">
        <v>0.2</v>
      </c>
      <c r="X213">
        <v>2016</v>
      </c>
      <c r="Y213">
        <v>7</v>
      </c>
      <c r="Z213" t="s">
        <v>217</v>
      </c>
    </row>
    <row r="214" spans="1:26" x14ac:dyDescent="0.35">
      <c r="A214">
        <v>2186</v>
      </c>
      <c r="B214" t="s">
        <v>1350</v>
      </c>
      <c r="C214" s="1">
        <v>42743</v>
      </c>
      <c r="D214" s="1">
        <v>42833</v>
      </c>
      <c r="E214">
        <v>90</v>
      </c>
      <c r="F214" t="s">
        <v>248</v>
      </c>
      <c r="G214" t="s">
        <v>249</v>
      </c>
      <c r="H214" t="s">
        <v>57</v>
      </c>
      <c r="I214" t="s">
        <v>30</v>
      </c>
      <c r="J214" t="s">
        <v>31</v>
      </c>
      <c r="K214" t="s">
        <v>205</v>
      </c>
      <c r="L214" t="s">
        <v>1351</v>
      </c>
      <c r="M214" t="s">
        <v>47</v>
      </c>
      <c r="N214" t="s">
        <v>1352</v>
      </c>
      <c r="O214" t="s">
        <v>1353</v>
      </c>
      <c r="P214" t="s">
        <v>50</v>
      </c>
      <c r="Q214" t="s">
        <v>51</v>
      </c>
      <c r="R214" t="s">
        <v>1354</v>
      </c>
      <c r="S214">
        <v>54.896000000000001</v>
      </c>
      <c r="T214">
        <v>18.5274</v>
      </c>
      <c r="U214">
        <v>0.33750000000000002</v>
      </c>
      <c r="V214">
        <v>2</v>
      </c>
      <c r="W214">
        <v>0.2</v>
      </c>
      <c r="X214">
        <v>2017</v>
      </c>
      <c r="Y214">
        <v>1</v>
      </c>
      <c r="Z214" t="s">
        <v>147</v>
      </c>
    </row>
    <row r="215" spans="1:26" x14ac:dyDescent="0.35">
      <c r="A215">
        <v>2203</v>
      </c>
      <c r="B215" t="s">
        <v>1355</v>
      </c>
      <c r="C215" s="1">
        <v>42164</v>
      </c>
      <c r="D215" s="1">
        <v>42347</v>
      </c>
      <c r="E215">
        <v>183</v>
      </c>
      <c r="F215" t="s">
        <v>1356</v>
      </c>
      <c r="G215" t="s">
        <v>1357</v>
      </c>
      <c r="H215" t="s">
        <v>107</v>
      </c>
      <c r="I215" t="s">
        <v>44</v>
      </c>
      <c r="J215" t="s">
        <v>31</v>
      </c>
      <c r="K215" t="s">
        <v>45</v>
      </c>
      <c r="L215" t="s">
        <v>46</v>
      </c>
      <c r="M215" t="s">
        <v>47</v>
      </c>
      <c r="N215" t="s">
        <v>48</v>
      </c>
      <c r="O215" t="s">
        <v>1358</v>
      </c>
      <c r="P215" t="s">
        <v>50</v>
      </c>
      <c r="Q215" t="s">
        <v>51</v>
      </c>
      <c r="R215" t="s">
        <v>1359</v>
      </c>
      <c r="S215">
        <v>6.0960000000000001</v>
      </c>
      <c r="T215">
        <v>2.1335999999999999</v>
      </c>
      <c r="U215">
        <v>0.35</v>
      </c>
      <c r="V215">
        <v>2</v>
      </c>
      <c r="W215">
        <v>0.2</v>
      </c>
      <c r="X215">
        <v>2015</v>
      </c>
      <c r="Y215">
        <v>6</v>
      </c>
      <c r="Z215" t="s">
        <v>120</v>
      </c>
    </row>
    <row r="216" spans="1:26" x14ac:dyDescent="0.35">
      <c r="A216">
        <v>2206</v>
      </c>
      <c r="B216" t="s">
        <v>1360</v>
      </c>
      <c r="C216" s="1">
        <v>42652</v>
      </c>
      <c r="D216" s="1">
        <v>42713</v>
      </c>
      <c r="E216">
        <v>61</v>
      </c>
      <c r="F216" t="s">
        <v>1361</v>
      </c>
      <c r="G216" t="s">
        <v>1362</v>
      </c>
      <c r="H216" t="s">
        <v>107</v>
      </c>
      <c r="I216" t="s">
        <v>30</v>
      </c>
      <c r="J216" t="s">
        <v>31</v>
      </c>
      <c r="K216" t="s">
        <v>166</v>
      </c>
      <c r="L216" t="s">
        <v>167</v>
      </c>
      <c r="M216" t="s">
        <v>34</v>
      </c>
      <c r="N216" t="s">
        <v>168</v>
      </c>
      <c r="O216" t="s">
        <v>1363</v>
      </c>
      <c r="P216" t="s">
        <v>50</v>
      </c>
      <c r="Q216" t="s">
        <v>74</v>
      </c>
      <c r="R216" t="s">
        <v>1364</v>
      </c>
      <c r="S216">
        <v>67.56</v>
      </c>
      <c r="T216">
        <v>8.4450000000000003</v>
      </c>
      <c r="U216">
        <v>0.125</v>
      </c>
      <c r="V216">
        <v>3</v>
      </c>
      <c r="W216">
        <v>0.2</v>
      </c>
      <c r="X216">
        <v>2016</v>
      </c>
      <c r="Y216">
        <v>10</v>
      </c>
      <c r="Z216" t="s">
        <v>694</v>
      </c>
    </row>
    <row r="217" spans="1:26" x14ac:dyDescent="0.35">
      <c r="A217">
        <v>2222</v>
      </c>
      <c r="B217" t="s">
        <v>1365</v>
      </c>
      <c r="C217" s="1">
        <v>42167</v>
      </c>
      <c r="D217" s="1">
        <v>42167</v>
      </c>
      <c r="E217">
        <v>0</v>
      </c>
      <c r="F217" t="s">
        <v>1366</v>
      </c>
      <c r="G217" t="s">
        <v>1367</v>
      </c>
      <c r="H217" t="s">
        <v>29</v>
      </c>
      <c r="I217" t="s">
        <v>543</v>
      </c>
      <c r="J217" t="s">
        <v>31</v>
      </c>
      <c r="K217" t="s">
        <v>181</v>
      </c>
      <c r="L217" t="s">
        <v>1368</v>
      </c>
      <c r="M217" t="s">
        <v>126</v>
      </c>
      <c r="N217" t="s">
        <v>1369</v>
      </c>
      <c r="O217" t="s">
        <v>1370</v>
      </c>
      <c r="P217" t="s">
        <v>64</v>
      </c>
      <c r="Q217" t="s">
        <v>65</v>
      </c>
      <c r="R217" t="s">
        <v>1371</v>
      </c>
      <c r="S217">
        <v>485.94</v>
      </c>
      <c r="T217">
        <v>-89.088999999999999</v>
      </c>
      <c r="U217">
        <v>-0.18333333333333332</v>
      </c>
      <c r="V217">
        <v>2</v>
      </c>
      <c r="W217">
        <v>0.4</v>
      </c>
      <c r="X217">
        <v>2015</v>
      </c>
      <c r="Y217">
        <v>6</v>
      </c>
      <c r="Z217" t="s">
        <v>120</v>
      </c>
    </row>
    <row r="218" spans="1:26" x14ac:dyDescent="0.35">
      <c r="A218">
        <v>2229</v>
      </c>
      <c r="B218" t="s">
        <v>1372</v>
      </c>
      <c r="C218" s="1">
        <v>42379</v>
      </c>
      <c r="D218" s="1">
        <v>42500</v>
      </c>
      <c r="E218">
        <v>121</v>
      </c>
      <c r="F218" t="s">
        <v>1373</v>
      </c>
      <c r="G218" t="s">
        <v>1374</v>
      </c>
      <c r="H218" t="s">
        <v>29</v>
      </c>
      <c r="I218" t="s">
        <v>44</v>
      </c>
      <c r="J218" t="s">
        <v>31</v>
      </c>
      <c r="K218" t="s">
        <v>124</v>
      </c>
      <c r="L218" t="s">
        <v>125</v>
      </c>
      <c r="M218" t="s">
        <v>126</v>
      </c>
      <c r="N218" t="s">
        <v>305</v>
      </c>
      <c r="O218" t="s">
        <v>1375</v>
      </c>
      <c r="P218" t="s">
        <v>37</v>
      </c>
      <c r="Q218" t="s">
        <v>160</v>
      </c>
      <c r="R218" t="s">
        <v>1376</v>
      </c>
      <c r="S218">
        <v>330.58800000000002</v>
      </c>
      <c r="T218">
        <v>-115.7058</v>
      </c>
      <c r="U218">
        <v>-0.35</v>
      </c>
      <c r="V218">
        <v>1</v>
      </c>
      <c r="W218">
        <v>0.4</v>
      </c>
      <c r="X218">
        <v>2016</v>
      </c>
      <c r="Y218">
        <v>1</v>
      </c>
      <c r="Z218" t="s">
        <v>147</v>
      </c>
    </row>
    <row r="219" spans="1:26" x14ac:dyDescent="0.35">
      <c r="A219">
        <v>2267</v>
      </c>
      <c r="B219" t="s">
        <v>1377</v>
      </c>
      <c r="C219" s="1">
        <v>43079</v>
      </c>
      <c r="D219" s="1">
        <v>43079</v>
      </c>
      <c r="E219">
        <v>0</v>
      </c>
      <c r="F219" t="s">
        <v>1378</v>
      </c>
      <c r="G219" t="s">
        <v>1379</v>
      </c>
      <c r="H219" t="s">
        <v>107</v>
      </c>
      <c r="I219" t="s">
        <v>543</v>
      </c>
      <c r="J219" t="s">
        <v>31</v>
      </c>
      <c r="K219" t="s">
        <v>97</v>
      </c>
      <c r="L219" t="s">
        <v>1380</v>
      </c>
      <c r="M219" t="s">
        <v>34</v>
      </c>
      <c r="N219" t="s">
        <v>1381</v>
      </c>
      <c r="O219" t="s">
        <v>1382</v>
      </c>
      <c r="P219" t="s">
        <v>50</v>
      </c>
      <c r="Q219" t="s">
        <v>83</v>
      </c>
      <c r="R219" t="s">
        <v>1383</v>
      </c>
      <c r="S219">
        <v>7.968</v>
      </c>
      <c r="T219">
        <v>2.6892</v>
      </c>
      <c r="U219">
        <v>0.33750000000000002</v>
      </c>
      <c r="V219">
        <v>2</v>
      </c>
      <c r="W219">
        <v>0.2</v>
      </c>
      <c r="X219">
        <v>2017</v>
      </c>
      <c r="Y219">
        <v>12</v>
      </c>
      <c r="Z219" t="s">
        <v>795</v>
      </c>
    </row>
    <row r="220" spans="1:26" x14ac:dyDescent="0.35">
      <c r="A220">
        <v>2273</v>
      </c>
      <c r="B220" t="s">
        <v>1384</v>
      </c>
      <c r="C220" s="1">
        <v>42158</v>
      </c>
      <c r="D220" s="1">
        <v>42311</v>
      </c>
      <c r="E220">
        <v>153</v>
      </c>
      <c r="F220" t="s">
        <v>1385</v>
      </c>
      <c r="G220" t="s">
        <v>1386</v>
      </c>
      <c r="H220" t="s">
        <v>29</v>
      </c>
      <c r="I220" t="s">
        <v>44</v>
      </c>
      <c r="J220" t="s">
        <v>31</v>
      </c>
      <c r="K220" t="s">
        <v>205</v>
      </c>
      <c r="L220" t="s">
        <v>371</v>
      </c>
      <c r="M220" t="s">
        <v>47</v>
      </c>
      <c r="N220" t="s">
        <v>691</v>
      </c>
      <c r="O220" t="s">
        <v>1387</v>
      </c>
      <c r="P220" t="s">
        <v>37</v>
      </c>
      <c r="Q220" t="s">
        <v>129</v>
      </c>
      <c r="R220" t="s">
        <v>1388</v>
      </c>
      <c r="S220">
        <v>435.26</v>
      </c>
      <c r="T220">
        <v>95.757199999999997</v>
      </c>
      <c r="U220">
        <v>0.22</v>
      </c>
      <c r="V220">
        <v>7</v>
      </c>
      <c r="W220">
        <v>0</v>
      </c>
      <c r="X220">
        <v>2015</v>
      </c>
      <c r="Y220">
        <v>6</v>
      </c>
      <c r="Z220" t="s">
        <v>120</v>
      </c>
    </row>
    <row r="221" spans="1:26" x14ac:dyDescent="0.35">
      <c r="A221">
        <v>2275</v>
      </c>
      <c r="B221" t="s">
        <v>1389</v>
      </c>
      <c r="C221" s="1">
        <v>41708</v>
      </c>
      <c r="D221" s="1">
        <v>41861</v>
      </c>
      <c r="E221">
        <v>153</v>
      </c>
      <c r="F221" t="s">
        <v>1390</v>
      </c>
      <c r="G221" t="s">
        <v>1391</v>
      </c>
      <c r="H221" t="s">
        <v>57</v>
      </c>
      <c r="I221" t="s">
        <v>30</v>
      </c>
      <c r="J221" t="s">
        <v>31</v>
      </c>
      <c r="K221" t="s">
        <v>205</v>
      </c>
      <c r="L221" t="s">
        <v>206</v>
      </c>
      <c r="M221" t="s">
        <v>47</v>
      </c>
      <c r="N221" t="s">
        <v>436</v>
      </c>
      <c r="O221" t="s">
        <v>1392</v>
      </c>
      <c r="P221" t="s">
        <v>37</v>
      </c>
      <c r="Q221" t="s">
        <v>160</v>
      </c>
      <c r="R221" t="s">
        <v>1393</v>
      </c>
      <c r="S221">
        <v>143.43199999999999</v>
      </c>
      <c r="T221">
        <v>3.5857999999999999</v>
      </c>
      <c r="U221">
        <v>2.5000000000000001E-2</v>
      </c>
      <c r="V221">
        <v>1</v>
      </c>
      <c r="W221">
        <v>0.2</v>
      </c>
      <c r="X221">
        <v>2014</v>
      </c>
      <c r="Y221">
        <v>3</v>
      </c>
      <c r="Z221" t="s">
        <v>103</v>
      </c>
    </row>
    <row r="222" spans="1:26" x14ac:dyDescent="0.35">
      <c r="A222">
        <v>2286</v>
      </c>
      <c r="B222" t="s">
        <v>1394</v>
      </c>
      <c r="C222" s="1">
        <v>42495</v>
      </c>
      <c r="D222" s="1">
        <v>42587</v>
      </c>
      <c r="E222">
        <v>92</v>
      </c>
      <c r="F222" t="s">
        <v>1395</v>
      </c>
      <c r="G222" t="s">
        <v>1396</v>
      </c>
      <c r="H222" t="s">
        <v>57</v>
      </c>
      <c r="I222" t="s">
        <v>58</v>
      </c>
      <c r="J222" t="s">
        <v>31</v>
      </c>
      <c r="K222" t="s">
        <v>166</v>
      </c>
      <c r="L222" t="s">
        <v>325</v>
      </c>
      <c r="M222" t="s">
        <v>34</v>
      </c>
      <c r="N222" t="s">
        <v>326</v>
      </c>
      <c r="O222" t="s">
        <v>1397</v>
      </c>
      <c r="P222" t="s">
        <v>50</v>
      </c>
      <c r="Q222" t="s">
        <v>83</v>
      </c>
      <c r="R222" t="s">
        <v>1398</v>
      </c>
      <c r="S222">
        <v>14.352</v>
      </c>
      <c r="T222">
        <v>5.2026000000000003</v>
      </c>
      <c r="U222">
        <v>0.36249999999999999</v>
      </c>
      <c r="V222">
        <v>3</v>
      </c>
      <c r="W222">
        <v>0.2</v>
      </c>
      <c r="X222">
        <v>2016</v>
      </c>
      <c r="Y222">
        <v>5</v>
      </c>
      <c r="Z222" t="s">
        <v>53</v>
      </c>
    </row>
    <row r="223" spans="1:26" x14ac:dyDescent="0.35">
      <c r="A223">
        <v>2288</v>
      </c>
      <c r="B223" t="s">
        <v>1399</v>
      </c>
      <c r="C223" s="1">
        <v>42741</v>
      </c>
      <c r="D223" s="1">
        <v>42861</v>
      </c>
      <c r="E223">
        <v>120</v>
      </c>
      <c r="F223" t="s">
        <v>519</v>
      </c>
      <c r="G223" t="s">
        <v>520</v>
      </c>
      <c r="H223" t="s">
        <v>57</v>
      </c>
      <c r="I223" t="s">
        <v>30</v>
      </c>
      <c r="J223" t="s">
        <v>31</v>
      </c>
      <c r="K223" t="s">
        <v>181</v>
      </c>
      <c r="L223" t="s">
        <v>1400</v>
      </c>
      <c r="M223" t="s">
        <v>126</v>
      </c>
      <c r="N223" t="s">
        <v>1401</v>
      </c>
      <c r="O223" t="s">
        <v>1402</v>
      </c>
      <c r="P223" t="s">
        <v>50</v>
      </c>
      <c r="Q223" t="s">
        <v>138</v>
      </c>
      <c r="R223" t="s">
        <v>1403</v>
      </c>
      <c r="S223">
        <v>17.48</v>
      </c>
      <c r="T223">
        <v>1.3109999999999999</v>
      </c>
      <c r="U223">
        <v>7.4999999999999997E-2</v>
      </c>
      <c r="V223">
        <v>5</v>
      </c>
      <c r="W223">
        <v>0.2</v>
      </c>
      <c r="X223">
        <v>2017</v>
      </c>
      <c r="Y223">
        <v>1</v>
      </c>
      <c r="Z223" t="s">
        <v>147</v>
      </c>
    </row>
    <row r="224" spans="1:26" x14ac:dyDescent="0.35">
      <c r="A224">
        <v>2290</v>
      </c>
      <c r="B224" t="s">
        <v>1404</v>
      </c>
      <c r="C224" s="1">
        <v>42948</v>
      </c>
      <c r="D224" s="1">
        <v>43040</v>
      </c>
      <c r="E224">
        <v>92</v>
      </c>
      <c r="F224" t="s">
        <v>1405</v>
      </c>
      <c r="G224" t="s">
        <v>1406</v>
      </c>
      <c r="H224" t="s">
        <v>57</v>
      </c>
      <c r="I224" t="s">
        <v>58</v>
      </c>
      <c r="J224" t="s">
        <v>31</v>
      </c>
      <c r="K224" t="s">
        <v>45</v>
      </c>
      <c r="L224" t="s">
        <v>46</v>
      </c>
      <c r="M224" t="s">
        <v>47</v>
      </c>
      <c r="N224" t="s">
        <v>214</v>
      </c>
      <c r="O224" t="s">
        <v>1407</v>
      </c>
      <c r="P224" t="s">
        <v>37</v>
      </c>
      <c r="Q224" t="s">
        <v>160</v>
      </c>
      <c r="R224" t="s">
        <v>1408</v>
      </c>
      <c r="S224">
        <v>892.98</v>
      </c>
      <c r="T224">
        <v>80.368200000000002</v>
      </c>
      <c r="U224">
        <v>0.09</v>
      </c>
      <c r="V224">
        <v>2</v>
      </c>
      <c r="W224">
        <v>0</v>
      </c>
      <c r="X224">
        <v>2017</v>
      </c>
      <c r="Y224">
        <v>8</v>
      </c>
      <c r="Z224" t="s">
        <v>40</v>
      </c>
    </row>
    <row r="225" spans="1:26" x14ac:dyDescent="0.35">
      <c r="A225">
        <v>2309</v>
      </c>
      <c r="B225" t="s">
        <v>1409</v>
      </c>
      <c r="C225" s="1">
        <v>43045</v>
      </c>
      <c r="D225" s="1">
        <v>43075</v>
      </c>
      <c r="E225">
        <v>30</v>
      </c>
      <c r="F225" t="s">
        <v>1410</v>
      </c>
      <c r="G225" t="s">
        <v>1411</v>
      </c>
      <c r="H225" t="s">
        <v>107</v>
      </c>
      <c r="I225" t="s">
        <v>58</v>
      </c>
      <c r="J225" t="s">
        <v>31</v>
      </c>
      <c r="K225" t="s">
        <v>70</v>
      </c>
      <c r="L225" t="s">
        <v>358</v>
      </c>
      <c r="M225" t="s">
        <v>47</v>
      </c>
      <c r="N225" t="s">
        <v>1412</v>
      </c>
      <c r="O225" t="s">
        <v>1413</v>
      </c>
      <c r="P225" t="s">
        <v>37</v>
      </c>
      <c r="Q225" t="s">
        <v>320</v>
      </c>
      <c r="R225" t="s">
        <v>1414</v>
      </c>
      <c r="S225">
        <v>280.79199999999997</v>
      </c>
      <c r="T225">
        <v>35.098999999999997</v>
      </c>
      <c r="U225">
        <v>0.125</v>
      </c>
      <c r="V225">
        <v>1</v>
      </c>
      <c r="W225">
        <v>0.2</v>
      </c>
      <c r="X225">
        <v>2017</v>
      </c>
      <c r="Y225">
        <v>11</v>
      </c>
      <c r="Z225" t="s">
        <v>210</v>
      </c>
    </row>
    <row r="226" spans="1:26" x14ac:dyDescent="0.35">
      <c r="A226">
        <v>2336</v>
      </c>
      <c r="B226" t="s">
        <v>1415</v>
      </c>
      <c r="C226" s="1">
        <v>43020</v>
      </c>
      <c r="D226" s="1">
        <v>43020</v>
      </c>
      <c r="E226">
        <v>0</v>
      </c>
      <c r="F226" t="s">
        <v>1416</v>
      </c>
      <c r="G226" t="s">
        <v>1417</v>
      </c>
      <c r="H226" t="s">
        <v>29</v>
      </c>
      <c r="I226" t="s">
        <v>543</v>
      </c>
      <c r="J226" t="s">
        <v>31</v>
      </c>
      <c r="K226" t="s">
        <v>1038</v>
      </c>
      <c r="L226" t="s">
        <v>1418</v>
      </c>
      <c r="M226" t="s">
        <v>126</v>
      </c>
      <c r="N226" t="s">
        <v>1419</v>
      </c>
      <c r="O226" t="s">
        <v>1420</v>
      </c>
      <c r="P226" t="s">
        <v>50</v>
      </c>
      <c r="Q226" t="s">
        <v>101</v>
      </c>
      <c r="R226" t="s">
        <v>1421</v>
      </c>
      <c r="S226">
        <v>10.86</v>
      </c>
      <c r="T226">
        <v>5.1041999999999996</v>
      </c>
      <c r="U226">
        <v>0.47</v>
      </c>
      <c r="V226">
        <v>3</v>
      </c>
      <c r="W226">
        <v>0</v>
      </c>
      <c r="X226">
        <v>2017</v>
      </c>
      <c r="Y226">
        <v>10</v>
      </c>
      <c r="Z226" t="s">
        <v>694</v>
      </c>
    </row>
    <row r="227" spans="1:26" x14ac:dyDescent="0.35">
      <c r="A227">
        <v>2371</v>
      </c>
      <c r="B227" t="s">
        <v>1422</v>
      </c>
      <c r="C227" s="1">
        <v>42923</v>
      </c>
      <c r="D227" s="1">
        <v>42985</v>
      </c>
      <c r="E227">
        <v>62</v>
      </c>
      <c r="F227" t="s">
        <v>1423</v>
      </c>
      <c r="G227" t="s">
        <v>1424</v>
      </c>
      <c r="H227" t="s">
        <v>57</v>
      </c>
      <c r="I227" t="s">
        <v>30</v>
      </c>
      <c r="J227" t="s">
        <v>31</v>
      </c>
      <c r="K227" t="s">
        <v>1425</v>
      </c>
      <c r="L227" t="s">
        <v>1426</v>
      </c>
      <c r="M227" t="s">
        <v>126</v>
      </c>
      <c r="N227" t="s">
        <v>1427</v>
      </c>
      <c r="O227" t="s">
        <v>1428</v>
      </c>
      <c r="P227" t="s">
        <v>64</v>
      </c>
      <c r="Q227" t="s">
        <v>288</v>
      </c>
      <c r="R227" t="s">
        <v>1429</v>
      </c>
      <c r="S227">
        <v>252</v>
      </c>
      <c r="T227">
        <v>93.24</v>
      </c>
      <c r="U227">
        <v>0.37</v>
      </c>
      <c r="V227">
        <v>4</v>
      </c>
      <c r="W227">
        <v>0</v>
      </c>
      <c r="X227">
        <v>2017</v>
      </c>
      <c r="Y227">
        <v>7</v>
      </c>
      <c r="Z227" t="s">
        <v>217</v>
      </c>
    </row>
    <row r="228" spans="1:26" x14ac:dyDescent="0.35">
      <c r="A228">
        <v>2390</v>
      </c>
      <c r="B228" t="s">
        <v>1430</v>
      </c>
      <c r="C228" s="1">
        <v>42167</v>
      </c>
      <c r="D228" s="1">
        <v>42289</v>
      </c>
      <c r="E228">
        <v>122</v>
      </c>
      <c r="F228" t="s">
        <v>1431</v>
      </c>
      <c r="G228" t="s">
        <v>1432</v>
      </c>
      <c r="H228" t="s">
        <v>29</v>
      </c>
      <c r="I228" t="s">
        <v>44</v>
      </c>
      <c r="J228" t="s">
        <v>31</v>
      </c>
      <c r="K228" t="s">
        <v>124</v>
      </c>
      <c r="L228" t="s">
        <v>125</v>
      </c>
      <c r="M228" t="s">
        <v>126</v>
      </c>
      <c r="N228" t="s">
        <v>127</v>
      </c>
      <c r="O228" t="s">
        <v>1433</v>
      </c>
      <c r="P228" t="s">
        <v>50</v>
      </c>
      <c r="Q228" t="s">
        <v>83</v>
      </c>
      <c r="R228" t="s">
        <v>1434</v>
      </c>
      <c r="S228">
        <v>6.48</v>
      </c>
      <c r="T228">
        <v>3.1103999999999998</v>
      </c>
      <c r="U228">
        <v>0.47999999999999993</v>
      </c>
      <c r="V228">
        <v>1</v>
      </c>
      <c r="W228">
        <v>0</v>
      </c>
      <c r="X228">
        <v>2015</v>
      </c>
      <c r="Y228">
        <v>6</v>
      </c>
      <c r="Z228" t="s">
        <v>120</v>
      </c>
    </row>
    <row r="229" spans="1:26" x14ac:dyDescent="0.35">
      <c r="A229">
        <v>2405</v>
      </c>
      <c r="B229" t="s">
        <v>1435</v>
      </c>
      <c r="C229" s="1">
        <v>42926</v>
      </c>
      <c r="D229" s="1">
        <v>43049</v>
      </c>
      <c r="E229">
        <v>123</v>
      </c>
      <c r="F229" t="s">
        <v>428</v>
      </c>
      <c r="G229" t="s">
        <v>429</v>
      </c>
      <c r="H229" t="s">
        <v>29</v>
      </c>
      <c r="I229" t="s">
        <v>44</v>
      </c>
      <c r="J229" t="s">
        <v>31</v>
      </c>
      <c r="K229" t="s">
        <v>205</v>
      </c>
      <c r="L229" t="s">
        <v>206</v>
      </c>
      <c r="M229" t="s">
        <v>47</v>
      </c>
      <c r="N229" t="s">
        <v>207</v>
      </c>
      <c r="O229" t="s">
        <v>1436</v>
      </c>
      <c r="P229" t="s">
        <v>64</v>
      </c>
      <c r="Q229" t="s">
        <v>288</v>
      </c>
      <c r="R229" t="s">
        <v>1437</v>
      </c>
      <c r="S229">
        <v>1115.9100000000001</v>
      </c>
      <c r="T229">
        <v>200.8638</v>
      </c>
      <c r="U229">
        <v>0.18</v>
      </c>
      <c r="V229">
        <v>9</v>
      </c>
      <c r="W229">
        <v>0</v>
      </c>
      <c r="X229">
        <v>2017</v>
      </c>
      <c r="Y229">
        <v>7</v>
      </c>
      <c r="Z229" t="s">
        <v>217</v>
      </c>
    </row>
    <row r="230" spans="1:26" x14ac:dyDescent="0.35">
      <c r="A230">
        <v>2411</v>
      </c>
      <c r="B230" t="s">
        <v>1438</v>
      </c>
      <c r="C230" s="1">
        <v>41647</v>
      </c>
      <c r="D230" s="1">
        <v>41798</v>
      </c>
      <c r="E230">
        <v>151</v>
      </c>
      <c r="F230" t="s">
        <v>1439</v>
      </c>
      <c r="G230" t="s">
        <v>1440</v>
      </c>
      <c r="H230" t="s">
        <v>107</v>
      </c>
      <c r="I230" t="s">
        <v>44</v>
      </c>
      <c r="J230" t="s">
        <v>31</v>
      </c>
      <c r="K230" t="s">
        <v>189</v>
      </c>
      <c r="L230" t="s">
        <v>190</v>
      </c>
      <c r="M230" t="s">
        <v>126</v>
      </c>
      <c r="N230" t="s">
        <v>1441</v>
      </c>
      <c r="O230" t="s">
        <v>1442</v>
      </c>
      <c r="P230" t="s">
        <v>50</v>
      </c>
      <c r="Q230" t="s">
        <v>486</v>
      </c>
      <c r="R230" t="s">
        <v>1443</v>
      </c>
      <c r="S230">
        <v>5.68</v>
      </c>
      <c r="T230">
        <v>1.917</v>
      </c>
      <c r="U230">
        <v>0.33750000000000002</v>
      </c>
      <c r="V230">
        <v>2</v>
      </c>
      <c r="W230">
        <v>0.2</v>
      </c>
      <c r="X230">
        <v>2014</v>
      </c>
      <c r="Y230">
        <v>1</v>
      </c>
      <c r="Z230" t="s">
        <v>147</v>
      </c>
    </row>
    <row r="231" spans="1:26" x14ac:dyDescent="0.35">
      <c r="A231">
        <v>2450</v>
      </c>
      <c r="B231" t="s">
        <v>1444</v>
      </c>
      <c r="C231" s="1">
        <v>42501</v>
      </c>
      <c r="D231" s="1">
        <v>42654</v>
      </c>
      <c r="E231">
        <v>153</v>
      </c>
      <c r="F231" t="s">
        <v>270</v>
      </c>
      <c r="G231" t="s">
        <v>271</v>
      </c>
      <c r="H231" t="s">
        <v>107</v>
      </c>
      <c r="I231" t="s">
        <v>44</v>
      </c>
      <c r="J231" t="s">
        <v>31</v>
      </c>
      <c r="K231" t="s">
        <v>205</v>
      </c>
      <c r="L231" t="s">
        <v>1445</v>
      </c>
      <c r="M231" t="s">
        <v>47</v>
      </c>
      <c r="N231" t="s">
        <v>1446</v>
      </c>
      <c r="O231" t="s">
        <v>1447</v>
      </c>
      <c r="P231" t="s">
        <v>50</v>
      </c>
      <c r="Q231" t="s">
        <v>51</v>
      </c>
      <c r="R231" t="s">
        <v>1448</v>
      </c>
      <c r="S231">
        <v>29.12</v>
      </c>
      <c r="T231">
        <v>9.8279999999999994</v>
      </c>
      <c r="U231">
        <v>0.33749999999999997</v>
      </c>
      <c r="V231">
        <v>5</v>
      </c>
      <c r="W231">
        <v>0.2</v>
      </c>
      <c r="X231">
        <v>2016</v>
      </c>
      <c r="Y231">
        <v>5</v>
      </c>
      <c r="Z231" t="s">
        <v>53</v>
      </c>
    </row>
    <row r="232" spans="1:26" x14ac:dyDescent="0.35">
      <c r="A232">
        <v>2467</v>
      </c>
      <c r="B232" t="s">
        <v>1449</v>
      </c>
      <c r="C232" s="1">
        <v>42830</v>
      </c>
      <c r="D232" s="1">
        <v>42952</v>
      </c>
      <c r="E232">
        <v>122</v>
      </c>
      <c r="F232" t="s">
        <v>1052</v>
      </c>
      <c r="G232" t="s">
        <v>1053</v>
      </c>
      <c r="H232" t="s">
        <v>29</v>
      </c>
      <c r="I232" t="s">
        <v>44</v>
      </c>
      <c r="J232" t="s">
        <v>31</v>
      </c>
      <c r="K232" t="s">
        <v>79</v>
      </c>
      <c r="L232" t="s">
        <v>1450</v>
      </c>
      <c r="M232" t="s">
        <v>34</v>
      </c>
      <c r="N232" t="s">
        <v>1451</v>
      </c>
      <c r="O232" t="s">
        <v>1452</v>
      </c>
      <c r="P232" t="s">
        <v>50</v>
      </c>
      <c r="Q232" t="s">
        <v>83</v>
      </c>
      <c r="R232" t="s">
        <v>1453</v>
      </c>
      <c r="S232">
        <v>9.11</v>
      </c>
      <c r="T232">
        <v>4.0994999999999999</v>
      </c>
      <c r="U232">
        <v>0.45</v>
      </c>
      <c r="V232">
        <v>1</v>
      </c>
      <c r="W232">
        <v>0</v>
      </c>
      <c r="X232">
        <v>2017</v>
      </c>
      <c r="Y232">
        <v>4</v>
      </c>
      <c r="Z232" t="s">
        <v>85</v>
      </c>
    </row>
    <row r="233" spans="1:26" x14ac:dyDescent="0.35">
      <c r="A233">
        <v>2474</v>
      </c>
      <c r="B233" t="s">
        <v>1454</v>
      </c>
      <c r="C233" s="1">
        <v>42440</v>
      </c>
      <c r="D233" s="1">
        <v>42532</v>
      </c>
      <c r="E233">
        <v>92</v>
      </c>
      <c r="F233" t="s">
        <v>864</v>
      </c>
      <c r="G233" t="s">
        <v>865</v>
      </c>
      <c r="H233" t="s">
        <v>29</v>
      </c>
      <c r="I233" t="s">
        <v>58</v>
      </c>
      <c r="J233" t="s">
        <v>31</v>
      </c>
      <c r="K233" t="s">
        <v>205</v>
      </c>
      <c r="L233" t="s">
        <v>206</v>
      </c>
      <c r="M233" t="s">
        <v>47</v>
      </c>
      <c r="N233" t="s">
        <v>442</v>
      </c>
      <c r="O233" t="s">
        <v>1455</v>
      </c>
      <c r="P233" t="s">
        <v>37</v>
      </c>
      <c r="Q233" t="s">
        <v>320</v>
      </c>
      <c r="R233" t="s">
        <v>1456</v>
      </c>
      <c r="S233">
        <v>217.584</v>
      </c>
      <c r="T233">
        <v>-29.9178</v>
      </c>
      <c r="U233">
        <v>-0.13749999999999998</v>
      </c>
      <c r="V233">
        <v>2</v>
      </c>
      <c r="W233">
        <v>0.2</v>
      </c>
      <c r="X233">
        <v>2016</v>
      </c>
      <c r="Y233">
        <v>3</v>
      </c>
      <c r="Z233" t="s">
        <v>103</v>
      </c>
    </row>
    <row r="234" spans="1:26" x14ac:dyDescent="0.35">
      <c r="A234">
        <v>2487</v>
      </c>
      <c r="B234" t="s">
        <v>1457</v>
      </c>
      <c r="C234" s="1">
        <v>42036</v>
      </c>
      <c r="D234" s="1">
        <v>42095</v>
      </c>
      <c r="E234">
        <v>59</v>
      </c>
      <c r="F234" t="s">
        <v>1140</v>
      </c>
      <c r="G234" t="s">
        <v>1141</v>
      </c>
      <c r="H234" t="s">
        <v>57</v>
      </c>
      <c r="I234" t="s">
        <v>30</v>
      </c>
      <c r="J234" t="s">
        <v>31</v>
      </c>
      <c r="K234" t="s">
        <v>1077</v>
      </c>
      <c r="L234" t="s">
        <v>1078</v>
      </c>
      <c r="M234" t="s">
        <v>126</v>
      </c>
      <c r="N234" t="s">
        <v>1079</v>
      </c>
      <c r="O234" t="s">
        <v>1458</v>
      </c>
      <c r="P234" t="s">
        <v>50</v>
      </c>
      <c r="Q234" t="s">
        <v>110</v>
      </c>
      <c r="R234" t="s">
        <v>1459</v>
      </c>
      <c r="S234">
        <v>85.52</v>
      </c>
      <c r="T234">
        <v>22.235199999999999</v>
      </c>
      <c r="U234">
        <v>0.26</v>
      </c>
      <c r="V234">
        <v>2</v>
      </c>
      <c r="W234">
        <v>0</v>
      </c>
      <c r="X234">
        <v>2015</v>
      </c>
      <c r="Y234">
        <v>2</v>
      </c>
      <c r="Z234" t="s">
        <v>162</v>
      </c>
    </row>
    <row r="235" spans="1:26" x14ac:dyDescent="0.35">
      <c r="A235">
        <v>2508</v>
      </c>
      <c r="B235" t="s">
        <v>1460</v>
      </c>
      <c r="C235" s="1">
        <v>42042</v>
      </c>
      <c r="D235" s="1">
        <v>42042</v>
      </c>
      <c r="E235">
        <v>0</v>
      </c>
      <c r="F235" t="s">
        <v>1461</v>
      </c>
      <c r="G235" t="s">
        <v>1462</v>
      </c>
      <c r="H235" t="s">
        <v>29</v>
      </c>
      <c r="I235" t="s">
        <v>543</v>
      </c>
      <c r="J235" t="s">
        <v>31</v>
      </c>
      <c r="K235" t="s">
        <v>59</v>
      </c>
      <c r="L235" t="s">
        <v>89</v>
      </c>
      <c r="M235" t="s">
        <v>61</v>
      </c>
      <c r="N235" t="s">
        <v>879</v>
      </c>
      <c r="O235" t="s">
        <v>1463</v>
      </c>
      <c r="P235" t="s">
        <v>50</v>
      </c>
      <c r="Q235" t="s">
        <v>138</v>
      </c>
      <c r="R235" t="s">
        <v>1464</v>
      </c>
      <c r="S235">
        <v>32.783999999999999</v>
      </c>
      <c r="T235">
        <v>-85.238399999999999</v>
      </c>
      <c r="U235">
        <v>-2.6</v>
      </c>
      <c r="V235">
        <v>4</v>
      </c>
      <c r="W235">
        <v>0.8</v>
      </c>
      <c r="X235">
        <v>2015</v>
      </c>
      <c r="Y235">
        <v>2</v>
      </c>
      <c r="Z235" t="s">
        <v>162</v>
      </c>
    </row>
    <row r="236" spans="1:26" x14ac:dyDescent="0.35">
      <c r="A236">
        <v>2509</v>
      </c>
      <c r="B236" t="s">
        <v>1465</v>
      </c>
      <c r="C236" s="1">
        <v>42769</v>
      </c>
      <c r="D236" s="1">
        <v>42950</v>
      </c>
      <c r="E236">
        <v>181</v>
      </c>
      <c r="F236" t="s">
        <v>1466</v>
      </c>
      <c r="G236" t="s">
        <v>1467</v>
      </c>
      <c r="H236" t="s">
        <v>57</v>
      </c>
      <c r="I236" t="s">
        <v>44</v>
      </c>
      <c r="J236" t="s">
        <v>31</v>
      </c>
      <c r="K236" t="s">
        <v>205</v>
      </c>
      <c r="L236" t="s">
        <v>206</v>
      </c>
      <c r="M236" t="s">
        <v>47</v>
      </c>
      <c r="N236" t="s">
        <v>207</v>
      </c>
      <c r="O236" t="s">
        <v>1468</v>
      </c>
      <c r="P236" t="s">
        <v>64</v>
      </c>
      <c r="Q236" t="s">
        <v>65</v>
      </c>
      <c r="R236" t="s">
        <v>1469</v>
      </c>
      <c r="S236">
        <v>196.77600000000001</v>
      </c>
      <c r="T236">
        <v>14.7582</v>
      </c>
      <c r="U236">
        <v>7.4999999999999997E-2</v>
      </c>
      <c r="V236">
        <v>3</v>
      </c>
      <c r="W236">
        <v>0.2</v>
      </c>
      <c r="X236">
        <v>2017</v>
      </c>
      <c r="Y236">
        <v>2</v>
      </c>
      <c r="Z236" t="s">
        <v>162</v>
      </c>
    </row>
    <row r="237" spans="1:26" x14ac:dyDescent="0.35">
      <c r="A237">
        <v>2567</v>
      </c>
      <c r="B237" t="s">
        <v>1470</v>
      </c>
      <c r="C237" s="1">
        <v>42746</v>
      </c>
      <c r="D237" s="1">
        <v>42805</v>
      </c>
      <c r="E237">
        <v>59</v>
      </c>
      <c r="F237" t="s">
        <v>500</v>
      </c>
      <c r="G237" t="s">
        <v>501</v>
      </c>
      <c r="H237" t="s">
        <v>29</v>
      </c>
      <c r="I237" t="s">
        <v>30</v>
      </c>
      <c r="J237" t="s">
        <v>31</v>
      </c>
      <c r="K237" t="s">
        <v>45</v>
      </c>
      <c r="L237" t="s">
        <v>1471</v>
      </c>
      <c r="M237" t="s">
        <v>47</v>
      </c>
      <c r="N237" t="s">
        <v>1472</v>
      </c>
      <c r="O237" t="s">
        <v>1473</v>
      </c>
      <c r="P237" t="s">
        <v>50</v>
      </c>
      <c r="Q237" t="s">
        <v>51</v>
      </c>
      <c r="R237" t="s">
        <v>1474</v>
      </c>
      <c r="S237">
        <v>25.12</v>
      </c>
      <c r="T237">
        <v>7.85</v>
      </c>
      <c r="U237">
        <v>0.3125</v>
      </c>
      <c r="V237">
        <v>5</v>
      </c>
      <c r="W237">
        <v>0.2</v>
      </c>
      <c r="X237">
        <v>2017</v>
      </c>
      <c r="Y237">
        <v>1</v>
      </c>
      <c r="Z237" t="s">
        <v>147</v>
      </c>
    </row>
    <row r="238" spans="1:26" x14ac:dyDescent="0.35">
      <c r="A238">
        <v>2586</v>
      </c>
      <c r="B238" t="s">
        <v>1475</v>
      </c>
      <c r="C238" s="1">
        <v>42074</v>
      </c>
      <c r="D238" s="1">
        <v>42288</v>
      </c>
      <c r="E238">
        <v>214</v>
      </c>
      <c r="F238" t="s">
        <v>1476</v>
      </c>
      <c r="G238" t="s">
        <v>1477</v>
      </c>
      <c r="H238" t="s">
        <v>57</v>
      </c>
      <c r="I238" t="s">
        <v>44</v>
      </c>
      <c r="J238" t="s">
        <v>31</v>
      </c>
      <c r="K238" t="s">
        <v>59</v>
      </c>
      <c r="L238" t="s">
        <v>1478</v>
      </c>
      <c r="M238" t="s">
        <v>61</v>
      </c>
      <c r="N238" t="s">
        <v>1479</v>
      </c>
      <c r="O238" t="s">
        <v>1480</v>
      </c>
      <c r="P238" t="s">
        <v>50</v>
      </c>
      <c r="Q238" t="s">
        <v>101</v>
      </c>
      <c r="R238" t="s">
        <v>1481</v>
      </c>
      <c r="S238">
        <v>6.6079999999999997</v>
      </c>
      <c r="T238">
        <v>2.1476000000000002</v>
      </c>
      <c r="U238">
        <v>0.32500000000000007</v>
      </c>
      <c r="V238">
        <v>2</v>
      </c>
      <c r="W238">
        <v>0.2</v>
      </c>
      <c r="X238">
        <v>2015</v>
      </c>
      <c r="Y238">
        <v>3</v>
      </c>
      <c r="Z238" t="s">
        <v>103</v>
      </c>
    </row>
    <row r="239" spans="1:26" x14ac:dyDescent="0.35">
      <c r="A239">
        <v>2589</v>
      </c>
      <c r="B239" t="s">
        <v>1482</v>
      </c>
      <c r="C239" s="1">
        <v>42495</v>
      </c>
      <c r="D239" s="1">
        <v>42618</v>
      </c>
      <c r="E239">
        <v>123</v>
      </c>
      <c r="F239" t="s">
        <v>1483</v>
      </c>
      <c r="G239" t="s">
        <v>1484</v>
      </c>
      <c r="H239" t="s">
        <v>107</v>
      </c>
      <c r="I239" t="s">
        <v>44</v>
      </c>
      <c r="J239" t="s">
        <v>31</v>
      </c>
      <c r="K239" t="s">
        <v>205</v>
      </c>
      <c r="L239" t="s">
        <v>206</v>
      </c>
      <c r="M239" t="s">
        <v>47</v>
      </c>
      <c r="N239" t="s">
        <v>228</v>
      </c>
      <c r="O239" t="s">
        <v>1485</v>
      </c>
      <c r="P239" t="s">
        <v>50</v>
      </c>
      <c r="Q239" t="s">
        <v>110</v>
      </c>
      <c r="R239" t="s">
        <v>1486</v>
      </c>
      <c r="S239">
        <v>5.98</v>
      </c>
      <c r="T239">
        <v>1.0165999999999999</v>
      </c>
      <c r="U239">
        <v>0.16999999999999998</v>
      </c>
      <c r="V239">
        <v>1</v>
      </c>
      <c r="W239">
        <v>0</v>
      </c>
      <c r="X239">
        <v>2016</v>
      </c>
      <c r="Y239">
        <v>5</v>
      </c>
      <c r="Z239" t="s">
        <v>53</v>
      </c>
    </row>
    <row r="240" spans="1:26" x14ac:dyDescent="0.35">
      <c r="A240">
        <v>2607</v>
      </c>
      <c r="B240" t="s">
        <v>1487</v>
      </c>
      <c r="C240" s="1">
        <v>42463</v>
      </c>
      <c r="D240" s="1">
        <v>42646</v>
      </c>
      <c r="E240">
        <v>183</v>
      </c>
      <c r="F240" t="s">
        <v>983</v>
      </c>
      <c r="G240" t="s">
        <v>984</v>
      </c>
      <c r="H240" t="s">
        <v>107</v>
      </c>
      <c r="I240" t="s">
        <v>44</v>
      </c>
      <c r="J240" t="s">
        <v>31</v>
      </c>
      <c r="K240" t="s">
        <v>205</v>
      </c>
      <c r="L240" t="s">
        <v>423</v>
      </c>
      <c r="M240" t="s">
        <v>47</v>
      </c>
      <c r="N240" t="s">
        <v>424</v>
      </c>
      <c r="O240" t="s">
        <v>1488</v>
      </c>
      <c r="P240" t="s">
        <v>50</v>
      </c>
      <c r="Q240" t="s">
        <v>74</v>
      </c>
      <c r="R240" t="s">
        <v>1489</v>
      </c>
      <c r="S240">
        <v>16.989999999999998</v>
      </c>
      <c r="T240">
        <v>4.9271000000000003</v>
      </c>
      <c r="U240">
        <v>0.29000000000000004</v>
      </c>
      <c r="V240">
        <v>1</v>
      </c>
      <c r="W240">
        <v>0</v>
      </c>
      <c r="X240">
        <v>2016</v>
      </c>
      <c r="Y240">
        <v>4</v>
      </c>
      <c r="Z240" t="s">
        <v>85</v>
      </c>
    </row>
    <row r="241" spans="1:26" x14ac:dyDescent="0.35">
      <c r="A241">
        <v>2617</v>
      </c>
      <c r="B241" t="s">
        <v>1490</v>
      </c>
      <c r="C241" s="1">
        <v>42739</v>
      </c>
      <c r="D241" s="1">
        <v>42859</v>
      </c>
      <c r="E241">
        <v>120</v>
      </c>
      <c r="F241" t="s">
        <v>1491</v>
      </c>
      <c r="G241" t="s">
        <v>1492</v>
      </c>
      <c r="H241" t="s">
        <v>29</v>
      </c>
      <c r="I241" t="s">
        <v>44</v>
      </c>
      <c r="J241" t="s">
        <v>31</v>
      </c>
      <c r="K241" t="s">
        <v>205</v>
      </c>
      <c r="L241" t="s">
        <v>371</v>
      </c>
      <c r="M241" t="s">
        <v>47</v>
      </c>
      <c r="N241" t="s">
        <v>372</v>
      </c>
      <c r="O241" t="s">
        <v>1493</v>
      </c>
      <c r="P241" t="s">
        <v>50</v>
      </c>
      <c r="Q241" t="s">
        <v>267</v>
      </c>
      <c r="R241" t="s">
        <v>1494</v>
      </c>
      <c r="S241">
        <v>5.78</v>
      </c>
      <c r="T241">
        <v>2.7166000000000001</v>
      </c>
      <c r="U241">
        <v>0.47000000000000003</v>
      </c>
      <c r="V241">
        <v>2</v>
      </c>
      <c r="W241">
        <v>0</v>
      </c>
      <c r="X241">
        <v>2017</v>
      </c>
      <c r="Y241">
        <v>1</v>
      </c>
      <c r="Z241" t="s">
        <v>147</v>
      </c>
    </row>
    <row r="242" spans="1:26" x14ac:dyDescent="0.35">
      <c r="A242">
        <v>2635</v>
      </c>
      <c r="B242" t="s">
        <v>1495</v>
      </c>
      <c r="C242" s="1">
        <v>42131</v>
      </c>
      <c r="D242" s="1">
        <v>42284</v>
      </c>
      <c r="E242">
        <v>153</v>
      </c>
      <c r="F242" t="s">
        <v>1496</v>
      </c>
      <c r="G242" t="s">
        <v>1497</v>
      </c>
      <c r="H242" t="s">
        <v>57</v>
      </c>
      <c r="I242" t="s">
        <v>30</v>
      </c>
      <c r="J242" t="s">
        <v>31</v>
      </c>
      <c r="K242" t="s">
        <v>97</v>
      </c>
      <c r="L242" t="s">
        <v>1498</v>
      </c>
      <c r="M242" t="s">
        <v>34</v>
      </c>
      <c r="N242" t="s">
        <v>1499</v>
      </c>
      <c r="O242" t="s">
        <v>1500</v>
      </c>
      <c r="P242" t="s">
        <v>37</v>
      </c>
      <c r="Q242" t="s">
        <v>129</v>
      </c>
      <c r="R242" t="s">
        <v>1501</v>
      </c>
      <c r="S242">
        <v>4.9279999999999999</v>
      </c>
      <c r="T242">
        <v>0.73919999999999997</v>
      </c>
      <c r="U242">
        <v>0.15</v>
      </c>
      <c r="V242">
        <v>2</v>
      </c>
      <c r="W242">
        <v>0.2</v>
      </c>
      <c r="X242">
        <v>2015</v>
      </c>
      <c r="Y242">
        <v>5</v>
      </c>
      <c r="Z242" t="s">
        <v>53</v>
      </c>
    </row>
    <row r="243" spans="1:26" x14ac:dyDescent="0.35">
      <c r="A243">
        <v>2671</v>
      </c>
      <c r="B243" t="s">
        <v>1502</v>
      </c>
      <c r="C243" s="1">
        <v>41891</v>
      </c>
      <c r="D243" s="1">
        <v>41982</v>
      </c>
      <c r="E243">
        <v>91</v>
      </c>
      <c r="F243" t="s">
        <v>1503</v>
      </c>
      <c r="G243" t="s">
        <v>1504</v>
      </c>
      <c r="H243" t="s">
        <v>57</v>
      </c>
      <c r="I243" t="s">
        <v>30</v>
      </c>
      <c r="J243" t="s">
        <v>31</v>
      </c>
      <c r="K243" t="s">
        <v>337</v>
      </c>
      <c r="L243" t="s">
        <v>338</v>
      </c>
      <c r="M243" t="s">
        <v>126</v>
      </c>
      <c r="N243" t="s">
        <v>339</v>
      </c>
      <c r="O243" t="s">
        <v>1505</v>
      </c>
      <c r="P243" t="s">
        <v>50</v>
      </c>
      <c r="Q243" t="s">
        <v>83</v>
      </c>
      <c r="R243" t="s">
        <v>1506</v>
      </c>
      <c r="S243">
        <v>166.44</v>
      </c>
      <c r="T243">
        <v>79.891199999999998</v>
      </c>
      <c r="U243">
        <v>0.48</v>
      </c>
      <c r="V243">
        <v>3</v>
      </c>
      <c r="W243">
        <v>0</v>
      </c>
      <c r="X243">
        <v>2014</v>
      </c>
      <c r="Y243">
        <v>9</v>
      </c>
      <c r="Z243" t="s">
        <v>93</v>
      </c>
    </row>
    <row r="244" spans="1:26" x14ac:dyDescent="0.35">
      <c r="A244">
        <v>2686</v>
      </c>
      <c r="B244" t="s">
        <v>1507</v>
      </c>
      <c r="C244" s="1">
        <v>42530</v>
      </c>
      <c r="D244" s="1">
        <v>42683</v>
      </c>
      <c r="E244">
        <v>153</v>
      </c>
      <c r="F244" t="s">
        <v>1508</v>
      </c>
      <c r="G244" t="s">
        <v>1509</v>
      </c>
      <c r="H244" t="s">
        <v>29</v>
      </c>
      <c r="I244" t="s">
        <v>44</v>
      </c>
      <c r="J244" t="s">
        <v>31</v>
      </c>
      <c r="K244" t="s">
        <v>97</v>
      </c>
      <c r="L244" t="s">
        <v>1510</v>
      </c>
      <c r="M244" t="s">
        <v>34</v>
      </c>
      <c r="N244" t="s">
        <v>1511</v>
      </c>
      <c r="O244" t="s">
        <v>1512</v>
      </c>
      <c r="P244" t="s">
        <v>50</v>
      </c>
      <c r="Q244" t="s">
        <v>101</v>
      </c>
      <c r="R244" t="s">
        <v>1513</v>
      </c>
      <c r="S244">
        <v>95.951999999999998</v>
      </c>
      <c r="T244">
        <v>29.984999999999999</v>
      </c>
      <c r="U244">
        <v>0.3125</v>
      </c>
      <c r="V244">
        <v>3</v>
      </c>
      <c r="W244">
        <v>0.2</v>
      </c>
      <c r="X244">
        <v>2016</v>
      </c>
      <c r="Y244">
        <v>6</v>
      </c>
      <c r="Z244" t="s">
        <v>120</v>
      </c>
    </row>
    <row r="245" spans="1:26" x14ac:dyDescent="0.35">
      <c r="A245">
        <v>2688</v>
      </c>
      <c r="B245" t="s">
        <v>1514</v>
      </c>
      <c r="C245" s="1">
        <v>42468</v>
      </c>
      <c r="D245" s="1">
        <v>42498</v>
      </c>
      <c r="E245">
        <v>30</v>
      </c>
      <c r="F245" t="s">
        <v>1515</v>
      </c>
      <c r="G245" t="s">
        <v>1516</v>
      </c>
      <c r="H245" t="s">
        <v>29</v>
      </c>
      <c r="I245" t="s">
        <v>58</v>
      </c>
      <c r="J245" t="s">
        <v>31</v>
      </c>
      <c r="K245" t="s">
        <v>234</v>
      </c>
      <c r="L245" t="s">
        <v>358</v>
      </c>
      <c r="M245" t="s">
        <v>61</v>
      </c>
      <c r="N245" t="s">
        <v>359</v>
      </c>
      <c r="O245" t="s">
        <v>1517</v>
      </c>
      <c r="P245" t="s">
        <v>50</v>
      </c>
      <c r="Q245" t="s">
        <v>51</v>
      </c>
      <c r="R245" t="s">
        <v>1518</v>
      </c>
      <c r="S245">
        <v>3.98</v>
      </c>
      <c r="T245">
        <v>-6.5670000000000002</v>
      </c>
      <c r="U245">
        <v>-1.6500000000000001</v>
      </c>
      <c r="V245">
        <v>5</v>
      </c>
      <c r="W245">
        <v>0.8</v>
      </c>
      <c r="X245">
        <v>2016</v>
      </c>
      <c r="Y245">
        <v>4</v>
      </c>
      <c r="Z245" t="s">
        <v>85</v>
      </c>
    </row>
    <row r="246" spans="1:26" x14ac:dyDescent="0.35">
      <c r="A246">
        <v>2696</v>
      </c>
      <c r="B246" t="s">
        <v>1519</v>
      </c>
      <c r="C246" s="1">
        <v>42553</v>
      </c>
      <c r="D246" s="1">
        <v>42615</v>
      </c>
      <c r="E246">
        <v>62</v>
      </c>
      <c r="F246" t="s">
        <v>1520</v>
      </c>
      <c r="G246" t="s">
        <v>1521</v>
      </c>
      <c r="H246" t="s">
        <v>29</v>
      </c>
      <c r="I246" t="s">
        <v>58</v>
      </c>
      <c r="J246" t="s">
        <v>31</v>
      </c>
      <c r="K246" t="s">
        <v>181</v>
      </c>
      <c r="L246" t="s">
        <v>678</v>
      </c>
      <c r="M246" t="s">
        <v>126</v>
      </c>
      <c r="N246" t="s">
        <v>1522</v>
      </c>
      <c r="O246" t="s">
        <v>1523</v>
      </c>
      <c r="P246" t="s">
        <v>50</v>
      </c>
      <c r="Q246" t="s">
        <v>83</v>
      </c>
      <c r="R246" t="s">
        <v>1524</v>
      </c>
      <c r="S246">
        <v>30.352</v>
      </c>
      <c r="T246">
        <v>10.623200000000001</v>
      </c>
      <c r="U246">
        <v>0.35000000000000003</v>
      </c>
      <c r="V246">
        <v>2</v>
      </c>
      <c r="W246">
        <v>0.2</v>
      </c>
      <c r="X246">
        <v>2016</v>
      </c>
      <c r="Y246">
        <v>7</v>
      </c>
      <c r="Z246" t="s">
        <v>217</v>
      </c>
    </row>
    <row r="247" spans="1:26" x14ac:dyDescent="0.35">
      <c r="A247">
        <v>2712</v>
      </c>
      <c r="B247" t="s">
        <v>1525</v>
      </c>
      <c r="C247" s="1">
        <v>42988</v>
      </c>
      <c r="D247" s="1">
        <v>43049</v>
      </c>
      <c r="E247">
        <v>61</v>
      </c>
      <c r="F247" t="s">
        <v>1526</v>
      </c>
      <c r="G247" t="s">
        <v>1527</v>
      </c>
      <c r="H247" t="s">
        <v>57</v>
      </c>
      <c r="I247" t="s">
        <v>58</v>
      </c>
      <c r="J247" t="s">
        <v>31</v>
      </c>
      <c r="K247" t="s">
        <v>181</v>
      </c>
      <c r="L247" t="s">
        <v>312</v>
      </c>
      <c r="M247" t="s">
        <v>126</v>
      </c>
      <c r="N247" t="s">
        <v>1528</v>
      </c>
      <c r="O247" t="s">
        <v>1529</v>
      </c>
      <c r="P247" t="s">
        <v>37</v>
      </c>
      <c r="Q247" t="s">
        <v>129</v>
      </c>
      <c r="R247" t="s">
        <v>1530</v>
      </c>
      <c r="S247">
        <v>45.887999999999998</v>
      </c>
      <c r="T247">
        <v>9.1776</v>
      </c>
      <c r="U247">
        <v>0.2</v>
      </c>
      <c r="V247">
        <v>4</v>
      </c>
      <c r="W247">
        <v>0.2</v>
      </c>
      <c r="X247">
        <v>2017</v>
      </c>
      <c r="Y247">
        <v>9</v>
      </c>
      <c r="Z247" t="s">
        <v>93</v>
      </c>
    </row>
    <row r="248" spans="1:26" x14ac:dyDescent="0.35">
      <c r="A248">
        <v>2716</v>
      </c>
      <c r="B248" t="s">
        <v>1531</v>
      </c>
      <c r="C248" s="1">
        <v>41741</v>
      </c>
      <c r="D248" s="1">
        <v>41863</v>
      </c>
      <c r="E248">
        <v>122</v>
      </c>
      <c r="F248" t="s">
        <v>1526</v>
      </c>
      <c r="G248" t="s">
        <v>1527</v>
      </c>
      <c r="H248" t="s">
        <v>57</v>
      </c>
      <c r="I248" t="s">
        <v>44</v>
      </c>
      <c r="J248" t="s">
        <v>31</v>
      </c>
      <c r="K248" t="s">
        <v>124</v>
      </c>
      <c r="L248" t="s">
        <v>125</v>
      </c>
      <c r="M248" t="s">
        <v>126</v>
      </c>
      <c r="N248" t="s">
        <v>305</v>
      </c>
      <c r="O248" t="s">
        <v>1532</v>
      </c>
      <c r="P248" t="s">
        <v>64</v>
      </c>
      <c r="Q248" t="s">
        <v>65</v>
      </c>
      <c r="R248" t="s">
        <v>1533</v>
      </c>
      <c r="S248">
        <v>129.97999999999999</v>
      </c>
      <c r="T248">
        <v>62.3904</v>
      </c>
      <c r="U248">
        <v>0.48000000000000004</v>
      </c>
      <c r="V248">
        <v>2</v>
      </c>
      <c r="W248">
        <v>0</v>
      </c>
      <c r="X248">
        <v>2014</v>
      </c>
      <c r="Y248">
        <v>4</v>
      </c>
      <c r="Z248" t="s">
        <v>85</v>
      </c>
    </row>
    <row r="249" spans="1:26" x14ac:dyDescent="0.35">
      <c r="A249">
        <v>2724</v>
      </c>
      <c r="B249" t="s">
        <v>1534</v>
      </c>
      <c r="C249" s="1">
        <v>41739</v>
      </c>
      <c r="D249" s="1">
        <v>41861</v>
      </c>
      <c r="E249">
        <v>122</v>
      </c>
      <c r="F249" t="s">
        <v>1535</v>
      </c>
      <c r="G249" t="s">
        <v>1536</v>
      </c>
      <c r="H249" t="s">
        <v>29</v>
      </c>
      <c r="I249" t="s">
        <v>44</v>
      </c>
      <c r="J249" t="s">
        <v>31</v>
      </c>
      <c r="K249" t="s">
        <v>205</v>
      </c>
      <c r="L249" t="s">
        <v>992</v>
      </c>
      <c r="M249" t="s">
        <v>47</v>
      </c>
      <c r="N249" t="s">
        <v>993</v>
      </c>
      <c r="O249" t="s">
        <v>1537</v>
      </c>
      <c r="P249" t="s">
        <v>50</v>
      </c>
      <c r="Q249" t="s">
        <v>267</v>
      </c>
      <c r="R249" t="s">
        <v>1538</v>
      </c>
      <c r="S249">
        <v>14.45</v>
      </c>
      <c r="T249">
        <v>6.7915000000000001</v>
      </c>
      <c r="U249">
        <v>0.47000000000000003</v>
      </c>
      <c r="V249">
        <v>5</v>
      </c>
      <c r="W249">
        <v>0</v>
      </c>
      <c r="X249">
        <v>2014</v>
      </c>
      <c r="Y249">
        <v>4</v>
      </c>
      <c r="Z249" t="s">
        <v>85</v>
      </c>
    </row>
    <row r="250" spans="1:26" x14ac:dyDescent="0.35">
      <c r="A250">
        <v>2751</v>
      </c>
      <c r="B250" t="s">
        <v>1539</v>
      </c>
      <c r="C250" s="1">
        <v>41859</v>
      </c>
      <c r="D250" s="1">
        <v>41951</v>
      </c>
      <c r="E250">
        <v>92</v>
      </c>
      <c r="F250" t="s">
        <v>1540</v>
      </c>
      <c r="G250" t="s">
        <v>1541</v>
      </c>
      <c r="H250" t="s">
        <v>29</v>
      </c>
      <c r="I250" t="s">
        <v>30</v>
      </c>
      <c r="J250" t="s">
        <v>31</v>
      </c>
      <c r="K250" t="s">
        <v>205</v>
      </c>
      <c r="L250" t="s">
        <v>1542</v>
      </c>
      <c r="M250" t="s">
        <v>47</v>
      </c>
      <c r="N250" t="s">
        <v>1543</v>
      </c>
      <c r="O250" t="s">
        <v>1544</v>
      </c>
      <c r="P250" t="s">
        <v>50</v>
      </c>
      <c r="Q250" t="s">
        <v>110</v>
      </c>
      <c r="R250" t="s">
        <v>1545</v>
      </c>
      <c r="S250">
        <v>423.28</v>
      </c>
      <c r="T250">
        <v>110.0528</v>
      </c>
      <c r="U250">
        <v>0.26</v>
      </c>
      <c r="V250">
        <v>11</v>
      </c>
      <c r="W250">
        <v>0</v>
      </c>
      <c r="X250">
        <v>2014</v>
      </c>
      <c r="Y250">
        <v>8</v>
      </c>
      <c r="Z250" t="s">
        <v>40</v>
      </c>
    </row>
    <row r="251" spans="1:26" x14ac:dyDescent="0.35">
      <c r="A251">
        <v>2769</v>
      </c>
      <c r="B251" t="s">
        <v>1546</v>
      </c>
      <c r="C251" s="1">
        <v>42039</v>
      </c>
      <c r="D251" s="1">
        <v>42189</v>
      </c>
      <c r="E251">
        <v>150</v>
      </c>
      <c r="F251" t="s">
        <v>1547</v>
      </c>
      <c r="G251" t="s">
        <v>1548</v>
      </c>
      <c r="H251" t="s">
        <v>29</v>
      </c>
      <c r="I251" t="s">
        <v>44</v>
      </c>
      <c r="J251" t="s">
        <v>31</v>
      </c>
      <c r="K251" t="s">
        <v>59</v>
      </c>
      <c r="L251" t="s">
        <v>528</v>
      </c>
      <c r="M251" t="s">
        <v>61</v>
      </c>
      <c r="N251" t="s">
        <v>1549</v>
      </c>
      <c r="O251" t="s">
        <v>1550</v>
      </c>
      <c r="P251" t="s">
        <v>50</v>
      </c>
      <c r="Q251" t="s">
        <v>138</v>
      </c>
      <c r="R251" t="s">
        <v>1551</v>
      </c>
      <c r="S251">
        <v>32.192</v>
      </c>
      <c r="T251">
        <v>-80.48</v>
      </c>
      <c r="U251">
        <v>-2.5</v>
      </c>
      <c r="V251">
        <v>2</v>
      </c>
      <c r="W251">
        <v>0.8</v>
      </c>
      <c r="X251">
        <v>2015</v>
      </c>
      <c r="Y251">
        <v>2</v>
      </c>
      <c r="Z251" t="s">
        <v>162</v>
      </c>
    </row>
    <row r="252" spans="1:26" x14ac:dyDescent="0.35">
      <c r="A252">
        <v>2772</v>
      </c>
      <c r="B252" t="s">
        <v>1552</v>
      </c>
      <c r="C252" s="1">
        <v>42438</v>
      </c>
      <c r="D252" s="1">
        <v>42652</v>
      </c>
      <c r="E252">
        <v>214</v>
      </c>
      <c r="F252" t="s">
        <v>1553</v>
      </c>
      <c r="G252" t="s">
        <v>1554</v>
      </c>
      <c r="H252" t="s">
        <v>29</v>
      </c>
      <c r="I252" t="s">
        <v>44</v>
      </c>
      <c r="J252" t="s">
        <v>31</v>
      </c>
      <c r="K252" t="s">
        <v>197</v>
      </c>
      <c r="L252" t="s">
        <v>1555</v>
      </c>
      <c r="M252" t="s">
        <v>61</v>
      </c>
      <c r="N252" t="s">
        <v>1556</v>
      </c>
      <c r="O252" t="s">
        <v>1557</v>
      </c>
      <c r="P252" t="s">
        <v>50</v>
      </c>
      <c r="Q252" t="s">
        <v>110</v>
      </c>
      <c r="R252" t="s">
        <v>1558</v>
      </c>
      <c r="S252">
        <v>54.5</v>
      </c>
      <c r="T252">
        <v>14.17</v>
      </c>
      <c r="U252">
        <v>0.26</v>
      </c>
      <c r="V252">
        <v>5</v>
      </c>
      <c r="W252">
        <v>0</v>
      </c>
      <c r="X252">
        <v>2016</v>
      </c>
      <c r="Y252">
        <v>3</v>
      </c>
      <c r="Z252" t="s">
        <v>103</v>
      </c>
    </row>
    <row r="253" spans="1:26" x14ac:dyDescent="0.35">
      <c r="A253">
        <v>2784</v>
      </c>
      <c r="B253" t="s">
        <v>1559</v>
      </c>
      <c r="C253" s="1">
        <v>42501</v>
      </c>
      <c r="D253" s="1">
        <v>42654</v>
      </c>
      <c r="E253">
        <v>153</v>
      </c>
      <c r="F253" t="s">
        <v>557</v>
      </c>
      <c r="G253" t="s">
        <v>558</v>
      </c>
      <c r="H253" t="s">
        <v>57</v>
      </c>
      <c r="I253" t="s">
        <v>44</v>
      </c>
      <c r="J253" t="s">
        <v>31</v>
      </c>
      <c r="K253" t="s">
        <v>189</v>
      </c>
      <c r="L253" t="s">
        <v>190</v>
      </c>
      <c r="M253" t="s">
        <v>126</v>
      </c>
      <c r="N253" t="s">
        <v>430</v>
      </c>
      <c r="O253" t="s">
        <v>1560</v>
      </c>
      <c r="P253" t="s">
        <v>64</v>
      </c>
      <c r="Q253" t="s">
        <v>65</v>
      </c>
      <c r="R253" t="s">
        <v>1561</v>
      </c>
      <c r="S253">
        <v>23.988</v>
      </c>
      <c r="T253">
        <v>-15.992000000000001</v>
      </c>
      <c r="U253">
        <v>-0.66666666666666674</v>
      </c>
      <c r="V253">
        <v>2</v>
      </c>
      <c r="W253">
        <v>0.4</v>
      </c>
      <c r="X253">
        <v>2016</v>
      </c>
      <c r="Y253">
        <v>5</v>
      </c>
      <c r="Z253" t="s">
        <v>53</v>
      </c>
    </row>
    <row r="254" spans="1:26" x14ac:dyDescent="0.35">
      <c r="A254">
        <v>2802</v>
      </c>
      <c r="B254" t="s">
        <v>1562</v>
      </c>
      <c r="C254" s="1">
        <v>42015</v>
      </c>
      <c r="D254" s="1">
        <v>42105</v>
      </c>
      <c r="E254">
        <v>90</v>
      </c>
      <c r="F254" t="s">
        <v>651</v>
      </c>
      <c r="G254" t="s">
        <v>652</v>
      </c>
      <c r="H254" t="s">
        <v>29</v>
      </c>
      <c r="I254" t="s">
        <v>58</v>
      </c>
      <c r="J254" t="s">
        <v>31</v>
      </c>
      <c r="K254" t="s">
        <v>115</v>
      </c>
      <c r="L254" t="s">
        <v>1018</v>
      </c>
      <c r="M254" t="s">
        <v>47</v>
      </c>
      <c r="N254" t="s">
        <v>1280</v>
      </c>
      <c r="O254" t="s">
        <v>1563</v>
      </c>
      <c r="P254" t="s">
        <v>50</v>
      </c>
      <c r="Q254" t="s">
        <v>74</v>
      </c>
      <c r="R254" t="s">
        <v>1564</v>
      </c>
      <c r="S254">
        <v>7.88</v>
      </c>
      <c r="T254">
        <v>1.7729999999999999</v>
      </c>
      <c r="U254">
        <v>0.22499999999999998</v>
      </c>
      <c r="V254">
        <v>1</v>
      </c>
      <c r="W254">
        <v>0.2</v>
      </c>
      <c r="X254">
        <v>2015</v>
      </c>
      <c r="Y254">
        <v>1</v>
      </c>
      <c r="Z254" t="s">
        <v>147</v>
      </c>
    </row>
    <row r="255" spans="1:26" x14ac:dyDescent="0.35">
      <c r="A255">
        <v>2806</v>
      </c>
      <c r="B255" t="s">
        <v>1565</v>
      </c>
      <c r="C255" s="1">
        <v>42194</v>
      </c>
      <c r="D255" s="1">
        <v>42317</v>
      </c>
      <c r="E255">
        <v>123</v>
      </c>
      <c r="F255" t="s">
        <v>1566</v>
      </c>
      <c r="G255" t="s">
        <v>1567</v>
      </c>
      <c r="H255" t="s">
        <v>29</v>
      </c>
      <c r="I255" t="s">
        <v>44</v>
      </c>
      <c r="J255" t="s">
        <v>31</v>
      </c>
      <c r="K255" t="s">
        <v>59</v>
      </c>
      <c r="L255" t="s">
        <v>1568</v>
      </c>
      <c r="M255" t="s">
        <v>61</v>
      </c>
      <c r="N255" t="s">
        <v>1569</v>
      </c>
      <c r="O255" t="s">
        <v>1570</v>
      </c>
      <c r="P255" t="s">
        <v>37</v>
      </c>
      <c r="Q255" t="s">
        <v>320</v>
      </c>
      <c r="R255" t="s">
        <v>1571</v>
      </c>
      <c r="S255">
        <v>47.515999999999998</v>
      </c>
      <c r="T255">
        <v>-2.0364</v>
      </c>
      <c r="U255">
        <v>-4.2857142857142858E-2</v>
      </c>
      <c r="V255">
        <v>2</v>
      </c>
      <c r="W255">
        <v>0.3</v>
      </c>
      <c r="X255">
        <v>2015</v>
      </c>
      <c r="Y255">
        <v>7</v>
      </c>
      <c r="Z255" t="s">
        <v>217</v>
      </c>
    </row>
    <row r="256" spans="1:26" x14ac:dyDescent="0.35">
      <c r="A256">
        <v>2832</v>
      </c>
      <c r="B256" t="s">
        <v>1572</v>
      </c>
      <c r="C256" s="1">
        <v>41650</v>
      </c>
      <c r="D256" s="1">
        <v>41770</v>
      </c>
      <c r="E256">
        <v>120</v>
      </c>
      <c r="F256" t="s">
        <v>976</v>
      </c>
      <c r="G256" t="s">
        <v>977</v>
      </c>
      <c r="H256" t="s">
        <v>29</v>
      </c>
      <c r="I256" t="s">
        <v>44</v>
      </c>
      <c r="J256" t="s">
        <v>31</v>
      </c>
      <c r="K256" t="s">
        <v>115</v>
      </c>
      <c r="L256" t="s">
        <v>116</v>
      </c>
      <c r="M256" t="s">
        <v>47</v>
      </c>
      <c r="N256" t="s">
        <v>117</v>
      </c>
      <c r="O256" t="s">
        <v>1573</v>
      </c>
      <c r="P256" t="s">
        <v>50</v>
      </c>
      <c r="Q256" t="s">
        <v>110</v>
      </c>
      <c r="R256" t="s">
        <v>1574</v>
      </c>
      <c r="S256">
        <v>443.92</v>
      </c>
      <c r="T256">
        <v>-94.332999999999998</v>
      </c>
      <c r="U256">
        <v>-0.21249999999999999</v>
      </c>
      <c r="V256">
        <v>5</v>
      </c>
      <c r="W256">
        <v>0.2</v>
      </c>
      <c r="X256">
        <v>2014</v>
      </c>
      <c r="Y256">
        <v>1</v>
      </c>
      <c r="Z256" t="s">
        <v>147</v>
      </c>
    </row>
    <row r="257" spans="1:26" x14ac:dyDescent="0.35">
      <c r="A257">
        <v>2840</v>
      </c>
      <c r="B257" t="s">
        <v>1575</v>
      </c>
      <c r="C257" s="1">
        <v>42072</v>
      </c>
      <c r="D257" s="1">
        <v>42225</v>
      </c>
      <c r="E257">
        <v>153</v>
      </c>
      <c r="F257" t="s">
        <v>1031</v>
      </c>
      <c r="G257" t="s">
        <v>1032</v>
      </c>
      <c r="H257" t="s">
        <v>57</v>
      </c>
      <c r="I257" t="s">
        <v>30</v>
      </c>
      <c r="J257" t="s">
        <v>31</v>
      </c>
      <c r="K257" t="s">
        <v>124</v>
      </c>
      <c r="L257" t="s">
        <v>125</v>
      </c>
      <c r="M257" t="s">
        <v>126</v>
      </c>
      <c r="N257" t="s">
        <v>127</v>
      </c>
      <c r="O257" t="s">
        <v>1576</v>
      </c>
      <c r="P257" t="s">
        <v>50</v>
      </c>
      <c r="Q257" t="s">
        <v>110</v>
      </c>
      <c r="R257" t="s">
        <v>1577</v>
      </c>
      <c r="S257">
        <v>120.33</v>
      </c>
      <c r="T257">
        <v>31.285799999999998</v>
      </c>
      <c r="U257">
        <v>0.26</v>
      </c>
      <c r="V257">
        <v>1</v>
      </c>
      <c r="W257">
        <v>0</v>
      </c>
      <c r="X257">
        <v>2015</v>
      </c>
      <c r="Y257">
        <v>3</v>
      </c>
      <c r="Z257" t="s">
        <v>103</v>
      </c>
    </row>
    <row r="258" spans="1:26" x14ac:dyDescent="0.35">
      <c r="A258">
        <v>2890</v>
      </c>
      <c r="B258" t="s">
        <v>1578</v>
      </c>
      <c r="C258" s="1">
        <v>42777</v>
      </c>
      <c r="D258" s="1">
        <v>42897</v>
      </c>
      <c r="E258">
        <v>120</v>
      </c>
      <c r="F258" t="s">
        <v>392</v>
      </c>
      <c r="G258" t="s">
        <v>393</v>
      </c>
      <c r="H258" t="s">
        <v>57</v>
      </c>
      <c r="I258" t="s">
        <v>44</v>
      </c>
      <c r="J258" t="s">
        <v>31</v>
      </c>
      <c r="K258" t="s">
        <v>45</v>
      </c>
      <c r="L258" t="s">
        <v>46</v>
      </c>
      <c r="M258" t="s">
        <v>47</v>
      </c>
      <c r="N258" t="s">
        <v>378</v>
      </c>
      <c r="O258" t="s">
        <v>1579</v>
      </c>
      <c r="P258" t="s">
        <v>50</v>
      </c>
      <c r="Q258" t="s">
        <v>83</v>
      </c>
      <c r="R258" t="s">
        <v>1580</v>
      </c>
      <c r="S258">
        <v>23.85</v>
      </c>
      <c r="T258">
        <v>10.7325</v>
      </c>
      <c r="U258">
        <v>0.44999999999999996</v>
      </c>
      <c r="V258">
        <v>5</v>
      </c>
      <c r="W258">
        <v>0</v>
      </c>
      <c r="X258">
        <v>2017</v>
      </c>
      <c r="Y258">
        <v>2</v>
      </c>
      <c r="Z258" t="s">
        <v>162</v>
      </c>
    </row>
    <row r="259" spans="1:26" x14ac:dyDescent="0.35">
      <c r="A259">
        <v>2898</v>
      </c>
      <c r="B259" t="s">
        <v>1581</v>
      </c>
      <c r="C259" s="1">
        <v>42461</v>
      </c>
      <c r="D259" s="1">
        <v>42614</v>
      </c>
      <c r="E259">
        <v>153</v>
      </c>
      <c r="F259" t="s">
        <v>1582</v>
      </c>
      <c r="G259" t="s">
        <v>1583</v>
      </c>
      <c r="H259" t="s">
        <v>57</v>
      </c>
      <c r="I259" t="s">
        <v>44</v>
      </c>
      <c r="J259" t="s">
        <v>31</v>
      </c>
      <c r="K259" t="s">
        <v>97</v>
      </c>
      <c r="L259" t="s">
        <v>854</v>
      </c>
      <c r="M259" t="s">
        <v>34</v>
      </c>
      <c r="N259" t="s">
        <v>855</v>
      </c>
      <c r="O259" t="s">
        <v>1584</v>
      </c>
      <c r="P259" t="s">
        <v>64</v>
      </c>
      <c r="Q259" t="s">
        <v>614</v>
      </c>
      <c r="R259" t="s">
        <v>1585</v>
      </c>
      <c r="S259">
        <v>959.96799999999996</v>
      </c>
      <c r="T259">
        <v>119.996</v>
      </c>
      <c r="U259">
        <v>0.125</v>
      </c>
      <c r="V259">
        <v>4</v>
      </c>
      <c r="W259">
        <v>0.2</v>
      </c>
      <c r="X259">
        <v>2016</v>
      </c>
      <c r="Y259">
        <v>4</v>
      </c>
      <c r="Z259" t="s">
        <v>85</v>
      </c>
    </row>
    <row r="260" spans="1:26" x14ac:dyDescent="0.35">
      <c r="A260">
        <v>2907</v>
      </c>
      <c r="B260" t="s">
        <v>1586</v>
      </c>
      <c r="C260" s="1">
        <v>42805</v>
      </c>
      <c r="D260" s="1">
        <v>42989</v>
      </c>
      <c r="E260">
        <v>184</v>
      </c>
      <c r="F260" t="s">
        <v>1587</v>
      </c>
      <c r="G260" t="s">
        <v>1588</v>
      </c>
      <c r="H260" t="s">
        <v>29</v>
      </c>
      <c r="I260" t="s">
        <v>44</v>
      </c>
      <c r="J260" t="s">
        <v>31</v>
      </c>
      <c r="K260" t="s">
        <v>134</v>
      </c>
      <c r="L260" t="s">
        <v>1589</v>
      </c>
      <c r="M260" t="s">
        <v>61</v>
      </c>
      <c r="N260" t="s">
        <v>1590</v>
      </c>
      <c r="O260" t="s">
        <v>1591</v>
      </c>
      <c r="P260" t="s">
        <v>50</v>
      </c>
      <c r="Q260" t="s">
        <v>83</v>
      </c>
      <c r="R260" t="s">
        <v>1592</v>
      </c>
      <c r="S260">
        <v>8.56</v>
      </c>
      <c r="T260">
        <v>3.8519999999999999</v>
      </c>
      <c r="U260">
        <v>0.44999999999999996</v>
      </c>
      <c r="V260">
        <v>2</v>
      </c>
      <c r="W260">
        <v>0</v>
      </c>
      <c r="X260">
        <v>2017</v>
      </c>
      <c r="Y260">
        <v>3</v>
      </c>
      <c r="Z260" t="s">
        <v>103</v>
      </c>
    </row>
    <row r="261" spans="1:26" x14ac:dyDescent="0.35">
      <c r="A261">
        <v>2925</v>
      </c>
      <c r="B261" t="s">
        <v>1593</v>
      </c>
      <c r="C261" s="1">
        <v>41679</v>
      </c>
      <c r="D261" s="1">
        <v>41768</v>
      </c>
      <c r="E261">
        <v>89</v>
      </c>
      <c r="F261" t="s">
        <v>1594</v>
      </c>
      <c r="G261" t="s">
        <v>1595</v>
      </c>
      <c r="H261" t="s">
        <v>29</v>
      </c>
      <c r="I261" t="s">
        <v>58</v>
      </c>
      <c r="J261" t="s">
        <v>31</v>
      </c>
      <c r="K261" t="s">
        <v>124</v>
      </c>
      <c r="L261" t="s">
        <v>1596</v>
      </c>
      <c r="M261" t="s">
        <v>126</v>
      </c>
      <c r="N261" t="s">
        <v>1597</v>
      </c>
      <c r="O261" t="s">
        <v>1598</v>
      </c>
      <c r="P261" t="s">
        <v>50</v>
      </c>
      <c r="Q261" t="s">
        <v>138</v>
      </c>
      <c r="R261" t="s">
        <v>1599</v>
      </c>
      <c r="S261">
        <v>19.899999999999999</v>
      </c>
      <c r="T261">
        <v>8.9550000000000001</v>
      </c>
      <c r="U261">
        <v>0.45</v>
      </c>
      <c r="V261">
        <v>1</v>
      </c>
      <c r="W261">
        <v>0</v>
      </c>
      <c r="X261">
        <v>2014</v>
      </c>
      <c r="Y261">
        <v>2</v>
      </c>
      <c r="Z261" t="s">
        <v>162</v>
      </c>
    </row>
    <row r="262" spans="1:26" x14ac:dyDescent="0.35">
      <c r="A262">
        <v>2934</v>
      </c>
      <c r="B262" t="s">
        <v>1600</v>
      </c>
      <c r="C262" s="1">
        <v>42533</v>
      </c>
      <c r="D262" s="1">
        <v>42716</v>
      </c>
      <c r="E262">
        <v>183</v>
      </c>
      <c r="F262" t="s">
        <v>1601</v>
      </c>
      <c r="G262" t="s">
        <v>1602</v>
      </c>
      <c r="H262" t="s">
        <v>29</v>
      </c>
      <c r="I262" t="s">
        <v>44</v>
      </c>
      <c r="J262" t="s">
        <v>31</v>
      </c>
      <c r="K262" t="s">
        <v>45</v>
      </c>
      <c r="L262" t="s">
        <v>46</v>
      </c>
      <c r="M262" t="s">
        <v>47</v>
      </c>
      <c r="N262" t="s">
        <v>378</v>
      </c>
      <c r="O262" t="s">
        <v>1603</v>
      </c>
      <c r="P262" t="s">
        <v>64</v>
      </c>
      <c r="Q262" t="s">
        <v>65</v>
      </c>
      <c r="R262" t="s">
        <v>1604</v>
      </c>
      <c r="S262">
        <v>156.792</v>
      </c>
      <c r="T262">
        <v>13.7193</v>
      </c>
      <c r="U262">
        <v>8.7500000000000008E-2</v>
      </c>
      <c r="V262">
        <v>1</v>
      </c>
      <c r="W262">
        <v>0.2</v>
      </c>
      <c r="X262">
        <v>2016</v>
      </c>
      <c r="Y262">
        <v>6</v>
      </c>
      <c r="Z262" t="s">
        <v>120</v>
      </c>
    </row>
    <row r="263" spans="1:26" x14ac:dyDescent="0.35">
      <c r="A263">
        <v>2958</v>
      </c>
      <c r="B263" t="s">
        <v>1605</v>
      </c>
      <c r="C263" s="1">
        <v>42830</v>
      </c>
      <c r="D263" s="1">
        <v>42983</v>
      </c>
      <c r="E263">
        <v>153</v>
      </c>
      <c r="F263" t="s">
        <v>1606</v>
      </c>
      <c r="G263" t="s">
        <v>1607</v>
      </c>
      <c r="H263" t="s">
        <v>29</v>
      </c>
      <c r="I263" t="s">
        <v>44</v>
      </c>
      <c r="J263" t="s">
        <v>31</v>
      </c>
      <c r="K263" t="s">
        <v>181</v>
      </c>
      <c r="L263" t="s">
        <v>80</v>
      </c>
      <c r="M263" t="s">
        <v>126</v>
      </c>
      <c r="N263" t="s">
        <v>703</v>
      </c>
      <c r="O263" t="s">
        <v>1608</v>
      </c>
      <c r="P263" t="s">
        <v>50</v>
      </c>
      <c r="Q263" t="s">
        <v>51</v>
      </c>
      <c r="R263" t="s">
        <v>1609</v>
      </c>
      <c r="S263">
        <v>2.3130000000000002</v>
      </c>
      <c r="T263">
        <v>-1.9275</v>
      </c>
      <c r="U263">
        <v>-0.83333333333333326</v>
      </c>
      <c r="V263">
        <v>1</v>
      </c>
      <c r="W263">
        <v>0.7</v>
      </c>
      <c r="X263">
        <v>2017</v>
      </c>
      <c r="Y263">
        <v>4</v>
      </c>
      <c r="Z263" t="s">
        <v>85</v>
      </c>
    </row>
    <row r="264" spans="1:26" x14ac:dyDescent="0.35">
      <c r="A264">
        <v>2977</v>
      </c>
      <c r="B264" t="s">
        <v>1610</v>
      </c>
      <c r="C264" s="1">
        <v>42837</v>
      </c>
      <c r="D264" s="1">
        <v>42837</v>
      </c>
      <c r="E264">
        <v>0</v>
      </c>
      <c r="F264" t="s">
        <v>1611</v>
      </c>
      <c r="G264" t="s">
        <v>1612</v>
      </c>
      <c r="H264" t="s">
        <v>57</v>
      </c>
      <c r="I264" t="s">
        <v>543</v>
      </c>
      <c r="J264" t="s">
        <v>31</v>
      </c>
      <c r="K264" t="s">
        <v>189</v>
      </c>
      <c r="L264" t="s">
        <v>190</v>
      </c>
      <c r="M264" t="s">
        <v>126</v>
      </c>
      <c r="N264" t="s">
        <v>685</v>
      </c>
      <c r="O264" t="s">
        <v>1613</v>
      </c>
      <c r="P264" t="s">
        <v>37</v>
      </c>
      <c r="Q264" t="s">
        <v>320</v>
      </c>
      <c r="R264" t="s">
        <v>1614</v>
      </c>
      <c r="S264">
        <v>188.55199999999999</v>
      </c>
      <c r="T264">
        <v>-2.6936</v>
      </c>
      <c r="U264">
        <v>-1.4285714285714287E-2</v>
      </c>
      <c r="V264">
        <v>7</v>
      </c>
      <c r="W264">
        <v>0.3</v>
      </c>
      <c r="X264">
        <v>2017</v>
      </c>
      <c r="Y264">
        <v>4</v>
      </c>
      <c r="Z264" t="s">
        <v>85</v>
      </c>
    </row>
    <row r="265" spans="1:26" x14ac:dyDescent="0.35">
      <c r="A265">
        <v>2978</v>
      </c>
      <c r="B265" t="s">
        <v>1615</v>
      </c>
      <c r="C265" s="1">
        <v>42804</v>
      </c>
      <c r="D265" s="1">
        <v>42957</v>
      </c>
      <c r="E265">
        <v>153</v>
      </c>
      <c r="F265" t="s">
        <v>696</v>
      </c>
      <c r="G265" t="s">
        <v>697</v>
      </c>
      <c r="H265" t="s">
        <v>29</v>
      </c>
      <c r="I265" t="s">
        <v>30</v>
      </c>
      <c r="J265" t="s">
        <v>31</v>
      </c>
      <c r="K265" t="s">
        <v>124</v>
      </c>
      <c r="L265" t="s">
        <v>143</v>
      </c>
      <c r="M265" t="s">
        <v>126</v>
      </c>
      <c r="N265" t="s">
        <v>1167</v>
      </c>
      <c r="O265" t="s">
        <v>1616</v>
      </c>
      <c r="P265" t="s">
        <v>50</v>
      </c>
      <c r="Q265" t="s">
        <v>110</v>
      </c>
      <c r="R265" t="s">
        <v>1617</v>
      </c>
      <c r="S265">
        <v>22.58</v>
      </c>
      <c r="T265">
        <v>5.8708</v>
      </c>
      <c r="U265">
        <v>0.26</v>
      </c>
      <c r="V265">
        <v>2</v>
      </c>
      <c r="W265">
        <v>0</v>
      </c>
      <c r="X265">
        <v>2017</v>
      </c>
      <c r="Y265">
        <v>3</v>
      </c>
      <c r="Z265" t="s">
        <v>103</v>
      </c>
    </row>
    <row r="266" spans="1:26" x14ac:dyDescent="0.35">
      <c r="A266">
        <v>3003</v>
      </c>
      <c r="B266" t="s">
        <v>1618</v>
      </c>
      <c r="C266" s="1">
        <v>42131</v>
      </c>
      <c r="D266" s="1">
        <v>42284</v>
      </c>
      <c r="E266">
        <v>153</v>
      </c>
      <c r="F266" t="s">
        <v>1619</v>
      </c>
      <c r="G266" t="s">
        <v>1620</v>
      </c>
      <c r="H266" t="s">
        <v>107</v>
      </c>
      <c r="I266" t="s">
        <v>44</v>
      </c>
      <c r="J266" t="s">
        <v>31</v>
      </c>
      <c r="K266" t="s">
        <v>256</v>
      </c>
      <c r="L266" t="s">
        <v>1621</v>
      </c>
      <c r="M266" t="s">
        <v>61</v>
      </c>
      <c r="N266" t="s">
        <v>1622</v>
      </c>
      <c r="O266" t="s">
        <v>1623</v>
      </c>
      <c r="P266" t="s">
        <v>50</v>
      </c>
      <c r="Q266" t="s">
        <v>51</v>
      </c>
      <c r="R266" t="s">
        <v>1624</v>
      </c>
      <c r="S266">
        <v>19</v>
      </c>
      <c r="T266">
        <v>8.93</v>
      </c>
      <c r="U266">
        <v>0.47</v>
      </c>
      <c r="V266">
        <v>5</v>
      </c>
      <c r="W266">
        <v>0</v>
      </c>
      <c r="X266">
        <v>2015</v>
      </c>
      <c r="Y266">
        <v>5</v>
      </c>
      <c r="Z266" t="s">
        <v>53</v>
      </c>
    </row>
    <row r="267" spans="1:26" x14ac:dyDescent="0.35">
      <c r="A267">
        <v>3005</v>
      </c>
      <c r="B267" t="s">
        <v>1625</v>
      </c>
      <c r="C267" s="1">
        <v>42591</v>
      </c>
      <c r="D267" s="1">
        <v>42652</v>
      </c>
      <c r="E267">
        <v>61</v>
      </c>
      <c r="F267" t="s">
        <v>1626</v>
      </c>
      <c r="G267" t="s">
        <v>1627</v>
      </c>
      <c r="H267" t="s">
        <v>107</v>
      </c>
      <c r="I267" t="s">
        <v>58</v>
      </c>
      <c r="J267" t="s">
        <v>31</v>
      </c>
      <c r="K267" t="s">
        <v>124</v>
      </c>
      <c r="L267" t="s">
        <v>125</v>
      </c>
      <c r="M267" t="s">
        <v>126</v>
      </c>
      <c r="N267" t="s">
        <v>740</v>
      </c>
      <c r="O267" t="s">
        <v>1628</v>
      </c>
      <c r="P267" t="s">
        <v>50</v>
      </c>
      <c r="Q267" t="s">
        <v>138</v>
      </c>
      <c r="R267" t="s">
        <v>1629</v>
      </c>
      <c r="S267">
        <v>207.48</v>
      </c>
      <c r="T267">
        <v>62.244</v>
      </c>
      <c r="U267">
        <v>0.3</v>
      </c>
      <c r="V267">
        <v>1</v>
      </c>
      <c r="W267">
        <v>0</v>
      </c>
      <c r="X267">
        <v>2016</v>
      </c>
      <c r="Y267">
        <v>8</v>
      </c>
      <c r="Z267" t="s">
        <v>40</v>
      </c>
    </row>
    <row r="268" spans="1:26" x14ac:dyDescent="0.35">
      <c r="A268">
        <v>3009</v>
      </c>
      <c r="B268" t="s">
        <v>1630</v>
      </c>
      <c r="C268" s="1">
        <v>42502</v>
      </c>
      <c r="D268" s="1">
        <v>42533</v>
      </c>
      <c r="E268">
        <v>31</v>
      </c>
      <c r="F268" t="s">
        <v>1631</v>
      </c>
      <c r="G268" t="s">
        <v>1632</v>
      </c>
      <c r="H268" t="s">
        <v>29</v>
      </c>
      <c r="I268" t="s">
        <v>58</v>
      </c>
      <c r="J268" t="s">
        <v>31</v>
      </c>
      <c r="K268" t="s">
        <v>32</v>
      </c>
      <c r="L268" t="s">
        <v>932</v>
      </c>
      <c r="M268" t="s">
        <v>34</v>
      </c>
      <c r="N268" t="s">
        <v>933</v>
      </c>
      <c r="O268" t="s">
        <v>1633</v>
      </c>
      <c r="P268" t="s">
        <v>37</v>
      </c>
      <c r="Q268" t="s">
        <v>129</v>
      </c>
      <c r="R268" t="s">
        <v>1634</v>
      </c>
      <c r="S268">
        <v>191.82</v>
      </c>
      <c r="T268">
        <v>74.809799999999996</v>
      </c>
      <c r="U268">
        <v>0.39</v>
      </c>
      <c r="V268">
        <v>3</v>
      </c>
      <c r="W268">
        <v>0</v>
      </c>
      <c r="X268">
        <v>2016</v>
      </c>
      <c r="Y268">
        <v>5</v>
      </c>
      <c r="Z268" t="s">
        <v>53</v>
      </c>
    </row>
    <row r="269" spans="1:26" x14ac:dyDescent="0.35">
      <c r="A269">
        <v>3042</v>
      </c>
      <c r="B269" t="s">
        <v>1635</v>
      </c>
      <c r="C269" s="1">
        <v>43048</v>
      </c>
      <c r="D269" s="1">
        <v>43078</v>
      </c>
      <c r="E269">
        <v>30</v>
      </c>
      <c r="F269" t="s">
        <v>1636</v>
      </c>
      <c r="G269" t="s">
        <v>1637</v>
      </c>
      <c r="H269" t="s">
        <v>107</v>
      </c>
      <c r="I269" t="s">
        <v>543</v>
      </c>
      <c r="J269" t="s">
        <v>31</v>
      </c>
      <c r="K269" t="s">
        <v>205</v>
      </c>
      <c r="L269" t="s">
        <v>1638</v>
      </c>
      <c r="M269" t="s">
        <v>47</v>
      </c>
      <c r="N269" t="s">
        <v>1639</v>
      </c>
      <c r="O269" t="s">
        <v>1640</v>
      </c>
      <c r="P269" t="s">
        <v>50</v>
      </c>
      <c r="Q269" t="s">
        <v>83</v>
      </c>
      <c r="R269" t="s">
        <v>1641</v>
      </c>
      <c r="S269">
        <v>12.96</v>
      </c>
      <c r="T269">
        <v>6.2207999999999997</v>
      </c>
      <c r="U269">
        <v>0.47999999999999993</v>
      </c>
      <c r="V269">
        <v>2</v>
      </c>
      <c r="W269">
        <v>0</v>
      </c>
      <c r="X269">
        <v>2017</v>
      </c>
      <c r="Y269">
        <v>11</v>
      </c>
      <c r="Z269" t="s">
        <v>210</v>
      </c>
    </row>
    <row r="270" spans="1:26" x14ac:dyDescent="0.35">
      <c r="A270">
        <v>3046</v>
      </c>
      <c r="B270" t="s">
        <v>1642</v>
      </c>
      <c r="C270" s="1">
        <v>42897</v>
      </c>
      <c r="D270" s="1">
        <v>43019</v>
      </c>
      <c r="E270">
        <v>122</v>
      </c>
      <c r="F270" t="s">
        <v>914</v>
      </c>
      <c r="G270" t="s">
        <v>915</v>
      </c>
      <c r="H270" t="s">
        <v>107</v>
      </c>
      <c r="I270" t="s">
        <v>30</v>
      </c>
      <c r="J270" t="s">
        <v>31</v>
      </c>
      <c r="K270" t="s">
        <v>134</v>
      </c>
      <c r="L270" t="s">
        <v>1228</v>
      </c>
      <c r="M270" t="s">
        <v>61</v>
      </c>
      <c r="N270" t="s">
        <v>1229</v>
      </c>
      <c r="O270" t="s">
        <v>1643</v>
      </c>
      <c r="P270" t="s">
        <v>50</v>
      </c>
      <c r="Q270" t="s">
        <v>74</v>
      </c>
      <c r="R270" t="s">
        <v>1644</v>
      </c>
      <c r="S270">
        <v>13.9</v>
      </c>
      <c r="T270">
        <v>3.6139999999999999</v>
      </c>
      <c r="U270">
        <v>0.26</v>
      </c>
      <c r="V270">
        <v>5</v>
      </c>
      <c r="W270">
        <v>0</v>
      </c>
      <c r="X270">
        <v>2017</v>
      </c>
      <c r="Y270">
        <v>6</v>
      </c>
      <c r="Z270" t="s">
        <v>120</v>
      </c>
    </row>
    <row r="271" spans="1:26" x14ac:dyDescent="0.35">
      <c r="A271">
        <v>3051</v>
      </c>
      <c r="B271" t="s">
        <v>1645</v>
      </c>
      <c r="C271" s="1">
        <v>42896</v>
      </c>
      <c r="D271" s="1">
        <v>43049</v>
      </c>
      <c r="E271">
        <v>153</v>
      </c>
      <c r="F271" t="s">
        <v>1646</v>
      </c>
      <c r="G271" t="s">
        <v>1647</v>
      </c>
      <c r="H271" t="s">
        <v>107</v>
      </c>
      <c r="I271" t="s">
        <v>44</v>
      </c>
      <c r="J271" t="s">
        <v>31</v>
      </c>
      <c r="K271" t="s">
        <v>1648</v>
      </c>
      <c r="L271" t="s">
        <v>1649</v>
      </c>
      <c r="M271" t="s">
        <v>47</v>
      </c>
      <c r="N271" t="s">
        <v>1650</v>
      </c>
      <c r="O271" t="s">
        <v>1651</v>
      </c>
      <c r="P271" t="s">
        <v>37</v>
      </c>
      <c r="Q271" t="s">
        <v>129</v>
      </c>
      <c r="R271" t="s">
        <v>1652</v>
      </c>
      <c r="S271">
        <v>41.96</v>
      </c>
      <c r="T271">
        <v>2.9371999999999998</v>
      </c>
      <c r="U271">
        <v>6.9999999999999993E-2</v>
      </c>
      <c r="V271">
        <v>2</v>
      </c>
      <c r="W271">
        <v>0</v>
      </c>
      <c r="X271">
        <v>2017</v>
      </c>
      <c r="Y271">
        <v>6</v>
      </c>
      <c r="Z271" t="s">
        <v>120</v>
      </c>
    </row>
    <row r="272" spans="1:26" x14ac:dyDescent="0.35">
      <c r="A272">
        <v>3062</v>
      </c>
      <c r="B272" t="s">
        <v>1653</v>
      </c>
      <c r="C272" s="1">
        <v>42797</v>
      </c>
      <c r="D272" s="1">
        <v>42919</v>
      </c>
      <c r="E272">
        <v>122</v>
      </c>
      <c r="F272" t="s">
        <v>1654</v>
      </c>
      <c r="G272" t="s">
        <v>1655</v>
      </c>
      <c r="H272" t="s">
        <v>29</v>
      </c>
      <c r="I272" t="s">
        <v>44</v>
      </c>
      <c r="J272" t="s">
        <v>31</v>
      </c>
      <c r="K272" t="s">
        <v>59</v>
      </c>
      <c r="L272" t="s">
        <v>528</v>
      </c>
      <c r="M272" t="s">
        <v>61</v>
      </c>
      <c r="N272" t="s">
        <v>529</v>
      </c>
      <c r="O272" t="s">
        <v>1656</v>
      </c>
      <c r="P272" t="s">
        <v>50</v>
      </c>
      <c r="Q272" t="s">
        <v>83</v>
      </c>
      <c r="R272" t="s">
        <v>1657</v>
      </c>
      <c r="S272">
        <v>26.88</v>
      </c>
      <c r="T272">
        <v>9.7439999999999998</v>
      </c>
      <c r="U272">
        <v>0.36249999999999999</v>
      </c>
      <c r="V272">
        <v>8</v>
      </c>
      <c r="W272">
        <v>0.2</v>
      </c>
      <c r="X272">
        <v>2017</v>
      </c>
      <c r="Y272">
        <v>3</v>
      </c>
      <c r="Z272" t="s">
        <v>103</v>
      </c>
    </row>
    <row r="273" spans="1:26" x14ac:dyDescent="0.35">
      <c r="A273">
        <v>3104</v>
      </c>
      <c r="B273" t="s">
        <v>1658</v>
      </c>
      <c r="C273" s="1">
        <v>42594</v>
      </c>
      <c r="D273" s="1">
        <v>42716</v>
      </c>
      <c r="E273">
        <v>122</v>
      </c>
      <c r="F273" t="s">
        <v>1659</v>
      </c>
      <c r="G273" t="s">
        <v>1660</v>
      </c>
      <c r="H273" t="s">
        <v>107</v>
      </c>
      <c r="I273" t="s">
        <v>44</v>
      </c>
      <c r="J273" t="s">
        <v>31</v>
      </c>
      <c r="K273" t="s">
        <v>181</v>
      </c>
      <c r="L273" t="s">
        <v>182</v>
      </c>
      <c r="M273" t="s">
        <v>126</v>
      </c>
      <c r="N273" t="s">
        <v>183</v>
      </c>
      <c r="O273" t="s">
        <v>1661</v>
      </c>
      <c r="P273" t="s">
        <v>50</v>
      </c>
      <c r="Q273" t="s">
        <v>51</v>
      </c>
      <c r="R273" t="s">
        <v>1662</v>
      </c>
      <c r="S273">
        <v>12.957000000000001</v>
      </c>
      <c r="T273">
        <v>-9.5017999999999994</v>
      </c>
      <c r="U273">
        <v>-0.73333333333333328</v>
      </c>
      <c r="V273">
        <v>7</v>
      </c>
      <c r="W273">
        <v>0.7</v>
      </c>
      <c r="X273">
        <v>2016</v>
      </c>
      <c r="Y273">
        <v>8</v>
      </c>
      <c r="Z273" t="s">
        <v>40</v>
      </c>
    </row>
    <row r="274" spans="1:26" x14ac:dyDescent="0.35">
      <c r="A274">
        <v>3128</v>
      </c>
      <c r="B274" t="s">
        <v>1663</v>
      </c>
      <c r="C274" s="1">
        <v>42776</v>
      </c>
      <c r="D274" s="1">
        <v>42896</v>
      </c>
      <c r="E274">
        <v>120</v>
      </c>
      <c r="F274" t="s">
        <v>1664</v>
      </c>
      <c r="G274" t="s">
        <v>1665</v>
      </c>
      <c r="H274" t="s">
        <v>29</v>
      </c>
      <c r="I274" t="s">
        <v>44</v>
      </c>
      <c r="J274" t="s">
        <v>31</v>
      </c>
      <c r="K274" t="s">
        <v>124</v>
      </c>
      <c r="L274" t="s">
        <v>125</v>
      </c>
      <c r="M274" t="s">
        <v>126</v>
      </c>
      <c r="N274" t="s">
        <v>740</v>
      </c>
      <c r="O274" t="s">
        <v>1666</v>
      </c>
      <c r="P274" t="s">
        <v>50</v>
      </c>
      <c r="Q274" t="s">
        <v>83</v>
      </c>
      <c r="R274" t="s">
        <v>1667</v>
      </c>
      <c r="S274">
        <v>49.12</v>
      </c>
      <c r="T274">
        <v>23.086400000000001</v>
      </c>
      <c r="U274">
        <v>0.47000000000000003</v>
      </c>
      <c r="V274">
        <v>4</v>
      </c>
      <c r="W274">
        <v>0</v>
      </c>
      <c r="X274">
        <v>2017</v>
      </c>
      <c r="Y274">
        <v>2</v>
      </c>
      <c r="Z274" t="s">
        <v>162</v>
      </c>
    </row>
    <row r="275" spans="1:26" x14ac:dyDescent="0.35">
      <c r="A275">
        <v>3178</v>
      </c>
      <c r="B275" t="s">
        <v>1668</v>
      </c>
      <c r="C275" s="1">
        <v>43017</v>
      </c>
      <c r="D275" s="1">
        <v>43017</v>
      </c>
      <c r="E275">
        <v>0</v>
      </c>
      <c r="F275" t="s">
        <v>1606</v>
      </c>
      <c r="G275" t="s">
        <v>1607</v>
      </c>
      <c r="H275" t="s">
        <v>29</v>
      </c>
      <c r="I275" t="s">
        <v>543</v>
      </c>
      <c r="J275" t="s">
        <v>31</v>
      </c>
      <c r="K275" t="s">
        <v>124</v>
      </c>
      <c r="L275" t="s">
        <v>125</v>
      </c>
      <c r="M275" t="s">
        <v>126</v>
      </c>
      <c r="N275" t="s">
        <v>305</v>
      </c>
      <c r="O275" t="s">
        <v>1669</v>
      </c>
      <c r="P275" t="s">
        <v>50</v>
      </c>
      <c r="Q275" t="s">
        <v>83</v>
      </c>
      <c r="R275" t="s">
        <v>1670</v>
      </c>
      <c r="S275">
        <v>18.760000000000002</v>
      </c>
      <c r="T275">
        <v>9.0047999999999995</v>
      </c>
      <c r="U275">
        <v>0.47999999999999993</v>
      </c>
      <c r="V275">
        <v>2</v>
      </c>
      <c r="W275">
        <v>0</v>
      </c>
      <c r="X275">
        <v>2017</v>
      </c>
      <c r="Y275">
        <v>10</v>
      </c>
      <c r="Z275" t="s">
        <v>694</v>
      </c>
    </row>
    <row r="276" spans="1:26" x14ac:dyDescent="0.35">
      <c r="A276">
        <v>3182</v>
      </c>
      <c r="B276" t="s">
        <v>1671</v>
      </c>
      <c r="C276" s="1">
        <v>42989</v>
      </c>
      <c r="D276" s="1">
        <v>43080</v>
      </c>
      <c r="E276">
        <v>91</v>
      </c>
      <c r="F276" t="s">
        <v>1672</v>
      </c>
      <c r="G276" t="s">
        <v>1673</v>
      </c>
      <c r="H276" t="s">
        <v>57</v>
      </c>
      <c r="I276" t="s">
        <v>30</v>
      </c>
      <c r="J276" t="s">
        <v>31</v>
      </c>
      <c r="K276" t="s">
        <v>841</v>
      </c>
      <c r="L276" t="s">
        <v>634</v>
      </c>
      <c r="M276" t="s">
        <v>126</v>
      </c>
      <c r="N276" t="s">
        <v>1674</v>
      </c>
      <c r="O276" t="s">
        <v>1675</v>
      </c>
      <c r="P276" t="s">
        <v>50</v>
      </c>
      <c r="Q276" t="s">
        <v>51</v>
      </c>
      <c r="R276" t="s">
        <v>1676</v>
      </c>
      <c r="S276">
        <v>9.64</v>
      </c>
      <c r="T276">
        <v>4.4344000000000001</v>
      </c>
      <c r="U276">
        <v>0.45999999999999996</v>
      </c>
      <c r="V276">
        <v>2</v>
      </c>
      <c r="W276">
        <v>0</v>
      </c>
      <c r="X276">
        <v>2017</v>
      </c>
      <c r="Y276">
        <v>9</v>
      </c>
      <c r="Z276" t="s">
        <v>93</v>
      </c>
    </row>
    <row r="277" spans="1:26" x14ac:dyDescent="0.35">
      <c r="A277">
        <v>3192</v>
      </c>
      <c r="B277" t="s">
        <v>1677</v>
      </c>
      <c r="C277" s="1">
        <v>42776</v>
      </c>
      <c r="D277" s="1">
        <v>42957</v>
      </c>
      <c r="E277">
        <v>181</v>
      </c>
      <c r="F277" t="s">
        <v>1678</v>
      </c>
      <c r="G277" t="s">
        <v>1679</v>
      </c>
      <c r="H277" t="s">
        <v>57</v>
      </c>
      <c r="I277" t="s">
        <v>44</v>
      </c>
      <c r="J277" t="s">
        <v>31</v>
      </c>
      <c r="K277" t="s">
        <v>124</v>
      </c>
      <c r="L277" t="s">
        <v>125</v>
      </c>
      <c r="M277" t="s">
        <v>126</v>
      </c>
      <c r="N277" t="s">
        <v>667</v>
      </c>
      <c r="O277" t="s">
        <v>1680</v>
      </c>
      <c r="P277" t="s">
        <v>64</v>
      </c>
      <c r="Q277" t="s">
        <v>65</v>
      </c>
      <c r="R277" t="s">
        <v>1681</v>
      </c>
      <c r="S277">
        <v>65.989999999999995</v>
      </c>
      <c r="T277">
        <v>17.157399999999999</v>
      </c>
      <c r="U277">
        <v>0.26</v>
      </c>
      <c r="V277">
        <v>1</v>
      </c>
      <c r="W277">
        <v>0</v>
      </c>
      <c r="X277">
        <v>2017</v>
      </c>
      <c r="Y277">
        <v>2</v>
      </c>
      <c r="Z277" t="s">
        <v>162</v>
      </c>
    </row>
    <row r="278" spans="1:26" x14ac:dyDescent="0.35">
      <c r="A278">
        <v>3193</v>
      </c>
      <c r="B278" t="s">
        <v>1682</v>
      </c>
      <c r="C278" s="1">
        <v>42831</v>
      </c>
      <c r="D278" s="1">
        <v>42953</v>
      </c>
      <c r="E278">
        <v>122</v>
      </c>
      <c r="F278" t="s">
        <v>1683</v>
      </c>
      <c r="G278" t="s">
        <v>1684</v>
      </c>
      <c r="H278" t="s">
        <v>57</v>
      </c>
      <c r="I278" t="s">
        <v>44</v>
      </c>
      <c r="J278" t="s">
        <v>31</v>
      </c>
      <c r="K278" t="s">
        <v>59</v>
      </c>
      <c r="L278" t="s">
        <v>1685</v>
      </c>
      <c r="M278" t="s">
        <v>61</v>
      </c>
      <c r="N278" t="s">
        <v>1686</v>
      </c>
      <c r="O278" t="s">
        <v>1687</v>
      </c>
      <c r="P278" t="s">
        <v>50</v>
      </c>
      <c r="Q278" t="s">
        <v>51</v>
      </c>
      <c r="R278" t="s">
        <v>1688</v>
      </c>
      <c r="S278">
        <v>6.37</v>
      </c>
      <c r="T278">
        <v>-9.5549999999999997</v>
      </c>
      <c r="U278">
        <v>-1.5</v>
      </c>
      <c r="V278">
        <v>7</v>
      </c>
      <c r="W278">
        <v>0.8</v>
      </c>
      <c r="X278">
        <v>2017</v>
      </c>
      <c r="Y278">
        <v>4</v>
      </c>
      <c r="Z278" t="s">
        <v>85</v>
      </c>
    </row>
    <row r="279" spans="1:26" x14ac:dyDescent="0.35">
      <c r="A279">
        <v>3198</v>
      </c>
      <c r="B279" t="s">
        <v>1689</v>
      </c>
      <c r="C279" s="1">
        <v>42284</v>
      </c>
      <c r="D279" s="1">
        <v>42284</v>
      </c>
      <c r="E279">
        <v>0</v>
      </c>
      <c r="F279" t="s">
        <v>1690</v>
      </c>
      <c r="G279" t="s">
        <v>1691</v>
      </c>
      <c r="H279" t="s">
        <v>29</v>
      </c>
      <c r="I279" t="s">
        <v>543</v>
      </c>
      <c r="J279" t="s">
        <v>31</v>
      </c>
      <c r="K279" t="s">
        <v>70</v>
      </c>
      <c r="L279" t="s">
        <v>1692</v>
      </c>
      <c r="M279" t="s">
        <v>47</v>
      </c>
      <c r="N279" t="s">
        <v>1693</v>
      </c>
      <c r="O279" t="s">
        <v>1694</v>
      </c>
      <c r="P279" t="s">
        <v>50</v>
      </c>
      <c r="Q279" t="s">
        <v>51</v>
      </c>
      <c r="R279" t="s">
        <v>1695</v>
      </c>
      <c r="S279">
        <v>3.3660000000000001</v>
      </c>
      <c r="T279">
        <v>-2.2440000000000002</v>
      </c>
      <c r="U279">
        <v>-0.66666666666666674</v>
      </c>
      <c r="V279">
        <v>3</v>
      </c>
      <c r="W279">
        <v>0.7</v>
      </c>
      <c r="X279">
        <v>2015</v>
      </c>
      <c r="Y279">
        <v>10</v>
      </c>
      <c r="Z279" t="s">
        <v>694</v>
      </c>
    </row>
    <row r="280" spans="1:26" x14ac:dyDescent="0.35">
      <c r="A280">
        <v>3199</v>
      </c>
      <c r="B280" t="s">
        <v>1696</v>
      </c>
      <c r="C280" s="1">
        <v>41651</v>
      </c>
      <c r="D280" s="1">
        <v>41832</v>
      </c>
      <c r="E280">
        <v>181</v>
      </c>
      <c r="F280" t="s">
        <v>1697</v>
      </c>
      <c r="G280" t="s">
        <v>1698</v>
      </c>
      <c r="H280" t="s">
        <v>29</v>
      </c>
      <c r="I280" t="s">
        <v>44</v>
      </c>
      <c r="J280" t="s">
        <v>31</v>
      </c>
      <c r="K280" t="s">
        <v>97</v>
      </c>
      <c r="L280" t="s">
        <v>471</v>
      </c>
      <c r="M280" t="s">
        <v>34</v>
      </c>
      <c r="N280" t="s">
        <v>960</v>
      </c>
      <c r="O280" t="s">
        <v>1699</v>
      </c>
      <c r="P280" t="s">
        <v>64</v>
      </c>
      <c r="Q280" t="s">
        <v>65</v>
      </c>
      <c r="R280" t="s">
        <v>1700</v>
      </c>
      <c r="S280">
        <v>95.968000000000004</v>
      </c>
      <c r="T280">
        <v>9.5968</v>
      </c>
      <c r="U280">
        <v>9.9999999999999992E-2</v>
      </c>
      <c r="V280">
        <v>4</v>
      </c>
      <c r="W280">
        <v>0.2</v>
      </c>
      <c r="X280">
        <v>2014</v>
      </c>
      <c r="Y280">
        <v>1</v>
      </c>
      <c r="Z280" t="s">
        <v>147</v>
      </c>
    </row>
    <row r="281" spans="1:26" x14ac:dyDescent="0.35">
      <c r="A281">
        <v>3216</v>
      </c>
      <c r="B281" t="s">
        <v>1701</v>
      </c>
      <c r="C281" s="1">
        <v>42954</v>
      </c>
      <c r="D281" s="1">
        <v>43015</v>
      </c>
      <c r="E281">
        <v>61</v>
      </c>
      <c r="F281" t="s">
        <v>1702</v>
      </c>
      <c r="G281" t="s">
        <v>1703</v>
      </c>
      <c r="H281" t="s">
        <v>29</v>
      </c>
      <c r="I281" t="s">
        <v>58</v>
      </c>
      <c r="J281" t="s">
        <v>31</v>
      </c>
      <c r="K281" t="s">
        <v>205</v>
      </c>
      <c r="L281" t="s">
        <v>1704</v>
      </c>
      <c r="M281" t="s">
        <v>47</v>
      </c>
      <c r="N281" t="s">
        <v>1705</v>
      </c>
      <c r="O281" t="s">
        <v>1706</v>
      </c>
      <c r="P281" t="s">
        <v>50</v>
      </c>
      <c r="Q281" t="s">
        <v>267</v>
      </c>
      <c r="R281" t="s">
        <v>1707</v>
      </c>
      <c r="S281">
        <v>75.180000000000007</v>
      </c>
      <c r="T281">
        <v>35.334600000000002</v>
      </c>
      <c r="U281">
        <v>0.47</v>
      </c>
      <c r="V281">
        <v>6</v>
      </c>
      <c r="W281">
        <v>0</v>
      </c>
      <c r="X281">
        <v>2017</v>
      </c>
      <c r="Y281">
        <v>8</v>
      </c>
      <c r="Z281" t="s">
        <v>40</v>
      </c>
    </row>
    <row r="282" spans="1:26" x14ac:dyDescent="0.35">
      <c r="A282">
        <v>3231</v>
      </c>
      <c r="B282" t="s">
        <v>1708</v>
      </c>
      <c r="C282" s="1">
        <v>42744</v>
      </c>
      <c r="D282" s="1">
        <v>42864</v>
      </c>
      <c r="E282">
        <v>120</v>
      </c>
      <c r="F282" t="s">
        <v>1709</v>
      </c>
      <c r="G282" t="s">
        <v>1710</v>
      </c>
      <c r="H282" t="s">
        <v>29</v>
      </c>
      <c r="I282" t="s">
        <v>30</v>
      </c>
      <c r="J282" t="s">
        <v>31</v>
      </c>
      <c r="K282" t="s">
        <v>124</v>
      </c>
      <c r="L282" t="s">
        <v>125</v>
      </c>
      <c r="M282" t="s">
        <v>126</v>
      </c>
      <c r="N282" t="s">
        <v>127</v>
      </c>
      <c r="O282" t="s">
        <v>1711</v>
      </c>
      <c r="P282" t="s">
        <v>37</v>
      </c>
      <c r="Q282" t="s">
        <v>129</v>
      </c>
      <c r="R282" t="s">
        <v>1712</v>
      </c>
      <c r="S282">
        <v>114.9</v>
      </c>
      <c r="T282">
        <v>39.066000000000003</v>
      </c>
      <c r="U282">
        <v>0.34</v>
      </c>
      <c r="V282">
        <v>5</v>
      </c>
      <c r="W282">
        <v>0</v>
      </c>
      <c r="X282">
        <v>2017</v>
      </c>
      <c r="Y282">
        <v>1</v>
      </c>
      <c r="Z282" t="s">
        <v>147</v>
      </c>
    </row>
    <row r="283" spans="1:26" x14ac:dyDescent="0.35">
      <c r="A283">
        <v>3244</v>
      </c>
      <c r="B283" t="s">
        <v>1713</v>
      </c>
      <c r="C283" s="1">
        <v>42747</v>
      </c>
      <c r="D283" s="1">
        <v>42867</v>
      </c>
      <c r="E283">
        <v>120</v>
      </c>
      <c r="F283" t="s">
        <v>1714</v>
      </c>
      <c r="G283" t="s">
        <v>1715</v>
      </c>
      <c r="H283" t="s">
        <v>29</v>
      </c>
      <c r="I283" t="s">
        <v>44</v>
      </c>
      <c r="J283" t="s">
        <v>31</v>
      </c>
      <c r="K283" t="s">
        <v>59</v>
      </c>
      <c r="L283" t="s">
        <v>1716</v>
      </c>
      <c r="M283" t="s">
        <v>61</v>
      </c>
      <c r="N283" t="s">
        <v>1717</v>
      </c>
      <c r="O283" t="s">
        <v>1718</v>
      </c>
      <c r="P283" t="s">
        <v>64</v>
      </c>
      <c r="Q283" t="s">
        <v>65</v>
      </c>
      <c r="R283" t="s">
        <v>1719</v>
      </c>
      <c r="S283">
        <v>219.8</v>
      </c>
      <c r="T283">
        <v>24.727499999999999</v>
      </c>
      <c r="U283">
        <v>0.11249999999999999</v>
      </c>
      <c r="V283">
        <v>5</v>
      </c>
      <c r="W283">
        <v>0.2</v>
      </c>
      <c r="X283">
        <v>2017</v>
      </c>
      <c r="Y283">
        <v>1</v>
      </c>
      <c r="Z283" t="s">
        <v>147</v>
      </c>
    </row>
    <row r="284" spans="1:26" x14ac:dyDescent="0.35">
      <c r="A284">
        <v>3296</v>
      </c>
      <c r="B284" t="s">
        <v>1720</v>
      </c>
      <c r="C284" s="1">
        <v>42745</v>
      </c>
      <c r="D284" s="1">
        <v>42804</v>
      </c>
      <c r="E284">
        <v>59</v>
      </c>
      <c r="F284" t="s">
        <v>1057</v>
      </c>
      <c r="G284" t="s">
        <v>1058</v>
      </c>
      <c r="H284" t="s">
        <v>107</v>
      </c>
      <c r="I284" t="s">
        <v>58</v>
      </c>
      <c r="J284" t="s">
        <v>31</v>
      </c>
      <c r="K284" t="s">
        <v>124</v>
      </c>
      <c r="L284" t="s">
        <v>125</v>
      </c>
      <c r="M284" t="s">
        <v>126</v>
      </c>
      <c r="N284" t="s">
        <v>667</v>
      </c>
      <c r="O284" t="s">
        <v>1721</v>
      </c>
      <c r="P284" t="s">
        <v>64</v>
      </c>
      <c r="Q284" t="s">
        <v>353</v>
      </c>
      <c r="R284" t="s">
        <v>1722</v>
      </c>
      <c r="S284">
        <v>1704.89</v>
      </c>
      <c r="T284">
        <v>767.20050000000003</v>
      </c>
      <c r="U284">
        <v>0.45</v>
      </c>
      <c r="V284">
        <v>11</v>
      </c>
      <c r="W284">
        <v>0</v>
      </c>
      <c r="X284">
        <v>2017</v>
      </c>
      <c r="Y284">
        <v>1</v>
      </c>
      <c r="Z284" t="s">
        <v>147</v>
      </c>
    </row>
    <row r="285" spans="1:26" x14ac:dyDescent="0.35">
      <c r="A285">
        <v>3349</v>
      </c>
      <c r="B285" t="s">
        <v>1723</v>
      </c>
      <c r="C285" s="1">
        <v>42866</v>
      </c>
      <c r="D285" s="1">
        <v>42927</v>
      </c>
      <c r="E285">
        <v>61</v>
      </c>
      <c r="F285" t="s">
        <v>1724</v>
      </c>
      <c r="G285" t="s">
        <v>1725</v>
      </c>
      <c r="H285" t="s">
        <v>57</v>
      </c>
      <c r="I285" t="s">
        <v>58</v>
      </c>
      <c r="J285" t="s">
        <v>31</v>
      </c>
      <c r="K285" t="s">
        <v>234</v>
      </c>
      <c r="L285" t="s">
        <v>280</v>
      </c>
      <c r="M285" t="s">
        <v>61</v>
      </c>
      <c r="N285" t="s">
        <v>1274</v>
      </c>
      <c r="O285" t="s">
        <v>1726</v>
      </c>
      <c r="P285" t="s">
        <v>50</v>
      </c>
      <c r="Q285" t="s">
        <v>51</v>
      </c>
      <c r="R285" t="s">
        <v>1727</v>
      </c>
      <c r="S285">
        <v>16.03</v>
      </c>
      <c r="T285">
        <v>-25.648</v>
      </c>
      <c r="U285">
        <v>-1.5999999999999999</v>
      </c>
      <c r="V285">
        <v>5</v>
      </c>
      <c r="W285">
        <v>0.8</v>
      </c>
      <c r="X285">
        <v>2017</v>
      </c>
      <c r="Y285">
        <v>5</v>
      </c>
      <c r="Z285" t="s">
        <v>53</v>
      </c>
    </row>
    <row r="286" spans="1:26" x14ac:dyDescent="0.35">
      <c r="A286">
        <v>3374</v>
      </c>
      <c r="B286" t="s">
        <v>1728</v>
      </c>
      <c r="C286" s="1">
        <v>42106</v>
      </c>
      <c r="D286" s="1">
        <v>42289</v>
      </c>
      <c r="E286">
        <v>183</v>
      </c>
      <c r="F286" t="s">
        <v>1729</v>
      </c>
      <c r="G286" t="s">
        <v>1730</v>
      </c>
      <c r="H286" t="s">
        <v>29</v>
      </c>
      <c r="I286" t="s">
        <v>44</v>
      </c>
      <c r="J286" t="s">
        <v>31</v>
      </c>
      <c r="K286" t="s">
        <v>124</v>
      </c>
      <c r="L286" t="s">
        <v>1731</v>
      </c>
      <c r="M286" t="s">
        <v>126</v>
      </c>
      <c r="N286" t="s">
        <v>1732</v>
      </c>
      <c r="O286" t="s">
        <v>1733</v>
      </c>
      <c r="P286" t="s">
        <v>37</v>
      </c>
      <c r="Q286" t="s">
        <v>129</v>
      </c>
      <c r="R286" t="s">
        <v>1734</v>
      </c>
      <c r="S286">
        <v>28.44</v>
      </c>
      <c r="T286">
        <v>11.375999999999999</v>
      </c>
      <c r="U286">
        <v>0.39999999999999997</v>
      </c>
      <c r="V286">
        <v>3</v>
      </c>
      <c r="W286">
        <v>0</v>
      </c>
      <c r="X286">
        <v>2015</v>
      </c>
      <c r="Y286">
        <v>4</v>
      </c>
      <c r="Z286" t="s">
        <v>85</v>
      </c>
    </row>
    <row r="287" spans="1:26" x14ac:dyDescent="0.35">
      <c r="A287">
        <v>3378</v>
      </c>
      <c r="B287" t="s">
        <v>1735</v>
      </c>
      <c r="C287" s="1">
        <v>42380</v>
      </c>
      <c r="D287" s="1">
        <v>42471</v>
      </c>
      <c r="E287">
        <v>91</v>
      </c>
      <c r="F287" t="s">
        <v>1736</v>
      </c>
      <c r="G287" t="s">
        <v>1737</v>
      </c>
      <c r="H287" t="s">
        <v>57</v>
      </c>
      <c r="I287" t="s">
        <v>58</v>
      </c>
      <c r="J287" t="s">
        <v>31</v>
      </c>
      <c r="K287" t="s">
        <v>59</v>
      </c>
      <c r="L287" t="s">
        <v>1738</v>
      </c>
      <c r="M287" t="s">
        <v>61</v>
      </c>
      <c r="N287" t="s">
        <v>1739</v>
      </c>
      <c r="O287" t="s">
        <v>1740</v>
      </c>
      <c r="P287" t="s">
        <v>50</v>
      </c>
      <c r="Q287" t="s">
        <v>110</v>
      </c>
      <c r="R287" t="s">
        <v>1741</v>
      </c>
      <c r="S287">
        <v>111.672</v>
      </c>
      <c r="T287">
        <v>6.9794999999999998</v>
      </c>
      <c r="U287">
        <v>6.25E-2</v>
      </c>
      <c r="V287">
        <v>9</v>
      </c>
      <c r="W287">
        <v>0.2</v>
      </c>
      <c r="X287">
        <v>2016</v>
      </c>
      <c r="Y287">
        <v>1</v>
      </c>
      <c r="Z287" t="s">
        <v>147</v>
      </c>
    </row>
    <row r="288" spans="1:26" x14ac:dyDescent="0.35">
      <c r="A288">
        <v>3395</v>
      </c>
      <c r="B288" t="s">
        <v>1742</v>
      </c>
      <c r="C288" s="1">
        <v>43014</v>
      </c>
      <c r="D288" s="1">
        <v>43014</v>
      </c>
      <c r="E288">
        <v>0</v>
      </c>
      <c r="F288" t="s">
        <v>1743</v>
      </c>
      <c r="G288" t="s">
        <v>1744</v>
      </c>
      <c r="H288" t="s">
        <v>29</v>
      </c>
      <c r="I288" t="s">
        <v>543</v>
      </c>
      <c r="J288" t="s">
        <v>31</v>
      </c>
      <c r="K288" t="s">
        <v>189</v>
      </c>
      <c r="L288" t="s">
        <v>190</v>
      </c>
      <c r="M288" t="s">
        <v>126</v>
      </c>
      <c r="N288" t="s">
        <v>685</v>
      </c>
      <c r="O288" t="s">
        <v>1745</v>
      </c>
      <c r="P288" t="s">
        <v>50</v>
      </c>
      <c r="Q288" t="s">
        <v>83</v>
      </c>
      <c r="R288" t="s">
        <v>1746</v>
      </c>
      <c r="S288">
        <v>40.031999999999996</v>
      </c>
      <c r="T288">
        <v>15.012</v>
      </c>
      <c r="U288">
        <v>0.37500000000000006</v>
      </c>
      <c r="V288">
        <v>6</v>
      </c>
      <c r="W288">
        <v>0.2</v>
      </c>
      <c r="X288">
        <v>2017</v>
      </c>
      <c r="Y288">
        <v>10</v>
      </c>
      <c r="Z288" t="s">
        <v>694</v>
      </c>
    </row>
    <row r="289" spans="1:26" x14ac:dyDescent="0.35">
      <c r="A289">
        <v>3416</v>
      </c>
      <c r="B289" t="s">
        <v>1747</v>
      </c>
      <c r="C289" s="1">
        <v>42409</v>
      </c>
      <c r="D289" s="1">
        <v>42409</v>
      </c>
      <c r="E289">
        <v>0</v>
      </c>
      <c r="F289" t="s">
        <v>1748</v>
      </c>
      <c r="G289" t="s">
        <v>1749</v>
      </c>
      <c r="H289" t="s">
        <v>29</v>
      </c>
      <c r="I289" t="s">
        <v>543</v>
      </c>
      <c r="J289" t="s">
        <v>31</v>
      </c>
      <c r="K289" t="s">
        <v>197</v>
      </c>
      <c r="L289" t="s">
        <v>1184</v>
      </c>
      <c r="M289" t="s">
        <v>61</v>
      </c>
      <c r="N289" t="s">
        <v>1185</v>
      </c>
      <c r="O289" t="s">
        <v>1750</v>
      </c>
      <c r="P289" t="s">
        <v>50</v>
      </c>
      <c r="Q289" t="s">
        <v>486</v>
      </c>
      <c r="R289" t="s">
        <v>1751</v>
      </c>
      <c r="S289">
        <v>1.81</v>
      </c>
      <c r="T289">
        <v>0.65159999999999996</v>
      </c>
      <c r="U289">
        <v>0.36</v>
      </c>
      <c r="V289">
        <v>1</v>
      </c>
      <c r="W289">
        <v>0</v>
      </c>
      <c r="X289">
        <v>2016</v>
      </c>
      <c r="Y289">
        <v>2</v>
      </c>
      <c r="Z289" t="s">
        <v>162</v>
      </c>
    </row>
    <row r="290" spans="1:26" x14ac:dyDescent="0.35">
      <c r="A290">
        <v>3428</v>
      </c>
      <c r="B290" t="s">
        <v>1752</v>
      </c>
      <c r="C290" s="1">
        <v>42801</v>
      </c>
      <c r="D290" s="1">
        <v>42893</v>
      </c>
      <c r="E290">
        <v>92</v>
      </c>
      <c r="F290" t="s">
        <v>1753</v>
      </c>
      <c r="G290" t="s">
        <v>1754</v>
      </c>
      <c r="H290" t="s">
        <v>107</v>
      </c>
      <c r="I290" t="s">
        <v>30</v>
      </c>
      <c r="J290" t="s">
        <v>31</v>
      </c>
      <c r="K290" t="s">
        <v>181</v>
      </c>
      <c r="L290" t="s">
        <v>678</v>
      </c>
      <c r="M290" t="s">
        <v>126</v>
      </c>
      <c r="N290" t="s">
        <v>1522</v>
      </c>
      <c r="O290" t="s">
        <v>1755</v>
      </c>
      <c r="P290" t="s">
        <v>50</v>
      </c>
      <c r="Q290" t="s">
        <v>83</v>
      </c>
      <c r="R290" t="s">
        <v>1756</v>
      </c>
      <c r="S290">
        <v>32.896000000000001</v>
      </c>
      <c r="T290">
        <v>11.102399999999999</v>
      </c>
      <c r="U290">
        <v>0.33749999999999997</v>
      </c>
      <c r="V290">
        <v>4</v>
      </c>
      <c r="W290">
        <v>0.2</v>
      </c>
      <c r="X290">
        <v>2017</v>
      </c>
      <c r="Y290">
        <v>3</v>
      </c>
      <c r="Z290" t="s">
        <v>103</v>
      </c>
    </row>
    <row r="291" spans="1:26" x14ac:dyDescent="0.35">
      <c r="A291">
        <v>3431</v>
      </c>
      <c r="B291" t="s">
        <v>1757</v>
      </c>
      <c r="C291" s="1">
        <v>42959</v>
      </c>
      <c r="D291" s="1">
        <v>42990</v>
      </c>
      <c r="E291">
        <v>31</v>
      </c>
      <c r="F291" t="s">
        <v>1215</v>
      </c>
      <c r="G291" t="s">
        <v>1216</v>
      </c>
      <c r="H291" t="s">
        <v>29</v>
      </c>
      <c r="I291" t="s">
        <v>58</v>
      </c>
      <c r="J291" t="s">
        <v>31</v>
      </c>
      <c r="K291" t="s">
        <v>205</v>
      </c>
      <c r="L291" t="s">
        <v>1758</v>
      </c>
      <c r="M291" t="s">
        <v>47</v>
      </c>
      <c r="N291" t="s">
        <v>1759</v>
      </c>
      <c r="O291" t="s">
        <v>1760</v>
      </c>
      <c r="P291" t="s">
        <v>50</v>
      </c>
      <c r="Q291" t="s">
        <v>110</v>
      </c>
      <c r="R291" t="s">
        <v>1761</v>
      </c>
      <c r="S291">
        <v>29.79</v>
      </c>
      <c r="T291">
        <v>8.6390999999999991</v>
      </c>
      <c r="U291">
        <v>0.28999999999999998</v>
      </c>
      <c r="V291">
        <v>3</v>
      </c>
      <c r="W291">
        <v>0</v>
      </c>
      <c r="X291">
        <v>2017</v>
      </c>
      <c r="Y291">
        <v>8</v>
      </c>
      <c r="Z291" t="s">
        <v>40</v>
      </c>
    </row>
    <row r="292" spans="1:26" x14ac:dyDescent="0.35">
      <c r="A292">
        <v>3434</v>
      </c>
      <c r="B292" t="s">
        <v>1762</v>
      </c>
      <c r="C292" s="1">
        <v>42867</v>
      </c>
      <c r="D292" s="1">
        <v>42990</v>
      </c>
      <c r="E292">
        <v>123</v>
      </c>
      <c r="F292" t="s">
        <v>1763</v>
      </c>
      <c r="G292" t="s">
        <v>1764</v>
      </c>
      <c r="H292" t="s">
        <v>29</v>
      </c>
      <c r="I292" t="s">
        <v>44</v>
      </c>
      <c r="J292" t="s">
        <v>31</v>
      </c>
      <c r="K292" t="s">
        <v>45</v>
      </c>
      <c r="L292" t="s">
        <v>1765</v>
      </c>
      <c r="M292" t="s">
        <v>47</v>
      </c>
      <c r="N292" t="s">
        <v>1766</v>
      </c>
      <c r="O292" t="s">
        <v>1767</v>
      </c>
      <c r="P292" t="s">
        <v>50</v>
      </c>
      <c r="Q292" t="s">
        <v>51</v>
      </c>
      <c r="R292" t="s">
        <v>1768</v>
      </c>
      <c r="S292">
        <v>24.815999999999999</v>
      </c>
      <c r="T292">
        <v>8.3754000000000008</v>
      </c>
      <c r="U292">
        <v>0.33750000000000002</v>
      </c>
      <c r="V292">
        <v>3</v>
      </c>
      <c r="W292">
        <v>0.2</v>
      </c>
      <c r="X292">
        <v>2017</v>
      </c>
      <c r="Y292">
        <v>5</v>
      </c>
      <c r="Z292" t="s">
        <v>53</v>
      </c>
    </row>
    <row r="293" spans="1:26" x14ac:dyDescent="0.35">
      <c r="A293">
        <v>3513</v>
      </c>
      <c r="B293" t="s">
        <v>1769</v>
      </c>
      <c r="C293" s="1">
        <v>42834</v>
      </c>
      <c r="D293" s="1">
        <v>42895</v>
      </c>
      <c r="E293">
        <v>61</v>
      </c>
      <c r="F293" t="s">
        <v>1770</v>
      </c>
      <c r="G293" t="s">
        <v>1771</v>
      </c>
      <c r="H293" t="s">
        <v>57</v>
      </c>
      <c r="I293" t="s">
        <v>58</v>
      </c>
      <c r="J293" t="s">
        <v>31</v>
      </c>
      <c r="K293" t="s">
        <v>234</v>
      </c>
      <c r="L293" t="s">
        <v>280</v>
      </c>
      <c r="M293" t="s">
        <v>61</v>
      </c>
      <c r="N293" t="s">
        <v>448</v>
      </c>
      <c r="O293" t="s">
        <v>1772</v>
      </c>
      <c r="P293" t="s">
        <v>37</v>
      </c>
      <c r="Q293" t="s">
        <v>38</v>
      </c>
      <c r="R293" t="s">
        <v>1773</v>
      </c>
      <c r="S293">
        <v>825.17399999999998</v>
      </c>
      <c r="T293">
        <v>-117.88200000000001</v>
      </c>
      <c r="U293">
        <v>-0.14285714285714288</v>
      </c>
      <c r="V293">
        <v>9</v>
      </c>
      <c r="W293">
        <v>0.3</v>
      </c>
      <c r="X293">
        <v>2017</v>
      </c>
      <c r="Y293">
        <v>4</v>
      </c>
      <c r="Z293" t="s">
        <v>85</v>
      </c>
    </row>
    <row r="294" spans="1:26" x14ac:dyDescent="0.35">
      <c r="A294">
        <v>3517</v>
      </c>
      <c r="B294" t="s">
        <v>1774</v>
      </c>
      <c r="C294" s="1">
        <v>42621</v>
      </c>
      <c r="D294" s="1">
        <v>42712</v>
      </c>
      <c r="E294">
        <v>91</v>
      </c>
      <c r="F294" t="s">
        <v>1775</v>
      </c>
      <c r="G294" t="s">
        <v>1776</v>
      </c>
      <c r="H294" t="s">
        <v>29</v>
      </c>
      <c r="I294" t="s">
        <v>58</v>
      </c>
      <c r="J294" t="s">
        <v>31</v>
      </c>
      <c r="K294" t="s">
        <v>97</v>
      </c>
      <c r="L294" t="s">
        <v>1498</v>
      </c>
      <c r="M294" t="s">
        <v>34</v>
      </c>
      <c r="N294" t="s">
        <v>1499</v>
      </c>
      <c r="O294" t="s">
        <v>1777</v>
      </c>
      <c r="P294" t="s">
        <v>50</v>
      </c>
      <c r="Q294" t="s">
        <v>83</v>
      </c>
      <c r="R294" t="s">
        <v>1778</v>
      </c>
      <c r="S294">
        <v>30.815999999999999</v>
      </c>
      <c r="T294">
        <v>9.6300000000000008</v>
      </c>
      <c r="U294">
        <v>0.31250000000000006</v>
      </c>
      <c r="V294">
        <v>9</v>
      </c>
      <c r="W294">
        <v>0.2</v>
      </c>
      <c r="X294">
        <v>2016</v>
      </c>
      <c r="Y294">
        <v>9</v>
      </c>
      <c r="Z294" t="s">
        <v>93</v>
      </c>
    </row>
    <row r="295" spans="1:26" x14ac:dyDescent="0.35">
      <c r="A295">
        <v>3557</v>
      </c>
      <c r="B295" t="s">
        <v>1779</v>
      </c>
      <c r="C295" s="1">
        <v>42747</v>
      </c>
      <c r="D295" s="1">
        <v>42867</v>
      </c>
      <c r="E295">
        <v>120</v>
      </c>
      <c r="F295" t="s">
        <v>1780</v>
      </c>
      <c r="G295" t="s">
        <v>1781</v>
      </c>
      <c r="H295" t="s">
        <v>29</v>
      </c>
      <c r="I295" t="s">
        <v>44</v>
      </c>
      <c r="J295" t="s">
        <v>31</v>
      </c>
      <c r="K295" t="s">
        <v>205</v>
      </c>
      <c r="L295" t="s">
        <v>206</v>
      </c>
      <c r="M295" t="s">
        <v>47</v>
      </c>
      <c r="N295" t="s">
        <v>491</v>
      </c>
      <c r="O295" t="s">
        <v>1782</v>
      </c>
      <c r="P295" t="s">
        <v>50</v>
      </c>
      <c r="Q295" t="s">
        <v>83</v>
      </c>
      <c r="R295" t="s">
        <v>1783</v>
      </c>
      <c r="S295">
        <v>45.36</v>
      </c>
      <c r="T295">
        <v>21.7728</v>
      </c>
      <c r="U295">
        <v>0.48</v>
      </c>
      <c r="V295">
        <v>7</v>
      </c>
      <c r="W295">
        <v>0</v>
      </c>
      <c r="X295">
        <v>2017</v>
      </c>
      <c r="Y295">
        <v>1</v>
      </c>
      <c r="Z295" t="s">
        <v>147</v>
      </c>
    </row>
    <row r="296" spans="1:26" x14ac:dyDescent="0.35">
      <c r="A296">
        <v>3559</v>
      </c>
      <c r="B296" t="s">
        <v>1784</v>
      </c>
      <c r="C296" s="1">
        <v>42927</v>
      </c>
      <c r="D296" s="1">
        <v>43080</v>
      </c>
      <c r="E296">
        <v>153</v>
      </c>
      <c r="F296" t="s">
        <v>1785</v>
      </c>
      <c r="G296" t="s">
        <v>1786</v>
      </c>
      <c r="H296" t="s">
        <v>29</v>
      </c>
      <c r="I296" t="s">
        <v>44</v>
      </c>
      <c r="J296" t="s">
        <v>31</v>
      </c>
      <c r="K296" t="s">
        <v>205</v>
      </c>
      <c r="L296" t="s">
        <v>371</v>
      </c>
      <c r="M296" t="s">
        <v>47</v>
      </c>
      <c r="N296" t="s">
        <v>691</v>
      </c>
      <c r="O296" t="s">
        <v>1787</v>
      </c>
      <c r="P296" t="s">
        <v>50</v>
      </c>
      <c r="Q296" t="s">
        <v>51</v>
      </c>
      <c r="R296" t="s">
        <v>1788</v>
      </c>
      <c r="S296">
        <v>21.792000000000002</v>
      </c>
      <c r="T296">
        <v>7.6272000000000002</v>
      </c>
      <c r="U296">
        <v>0.35</v>
      </c>
      <c r="V296">
        <v>4</v>
      </c>
      <c r="W296">
        <v>0.2</v>
      </c>
      <c r="X296">
        <v>2017</v>
      </c>
      <c r="Y296">
        <v>7</v>
      </c>
      <c r="Z296" t="s">
        <v>217</v>
      </c>
    </row>
    <row r="297" spans="1:26" x14ac:dyDescent="0.35">
      <c r="A297">
        <v>3565</v>
      </c>
      <c r="B297" t="s">
        <v>1789</v>
      </c>
      <c r="C297" s="1">
        <v>42436</v>
      </c>
      <c r="D297" s="1">
        <v>42528</v>
      </c>
      <c r="E297">
        <v>92</v>
      </c>
      <c r="F297" t="s">
        <v>1790</v>
      </c>
      <c r="G297" t="s">
        <v>1791</v>
      </c>
      <c r="H297" t="s">
        <v>29</v>
      </c>
      <c r="I297" t="s">
        <v>58</v>
      </c>
      <c r="J297" t="s">
        <v>31</v>
      </c>
      <c r="K297" t="s">
        <v>205</v>
      </c>
      <c r="L297" t="s">
        <v>206</v>
      </c>
      <c r="M297" t="s">
        <v>47</v>
      </c>
      <c r="N297" t="s">
        <v>949</v>
      </c>
      <c r="O297" t="s">
        <v>1792</v>
      </c>
      <c r="P297" t="s">
        <v>50</v>
      </c>
      <c r="Q297" t="s">
        <v>83</v>
      </c>
      <c r="R297" t="s">
        <v>1793</v>
      </c>
      <c r="S297">
        <v>12.96</v>
      </c>
      <c r="T297">
        <v>6.2207999999999997</v>
      </c>
      <c r="U297">
        <v>0.47999999999999993</v>
      </c>
      <c r="V297">
        <v>2</v>
      </c>
      <c r="W297">
        <v>0</v>
      </c>
      <c r="X297">
        <v>2016</v>
      </c>
      <c r="Y297">
        <v>3</v>
      </c>
      <c r="Z297" t="s">
        <v>103</v>
      </c>
    </row>
    <row r="298" spans="1:26" x14ac:dyDescent="0.35">
      <c r="A298">
        <v>3651</v>
      </c>
      <c r="B298" t="s">
        <v>1794</v>
      </c>
      <c r="C298" s="1">
        <v>42990</v>
      </c>
      <c r="D298" s="1">
        <v>43051</v>
      </c>
      <c r="E298">
        <v>61</v>
      </c>
      <c r="F298" t="s">
        <v>1795</v>
      </c>
      <c r="G298" t="s">
        <v>1796</v>
      </c>
      <c r="H298" t="s">
        <v>29</v>
      </c>
      <c r="I298" t="s">
        <v>30</v>
      </c>
      <c r="J298" t="s">
        <v>31</v>
      </c>
      <c r="K298" t="s">
        <v>256</v>
      </c>
      <c r="L298" t="s">
        <v>404</v>
      </c>
      <c r="M298" t="s">
        <v>61</v>
      </c>
      <c r="N298" t="s">
        <v>1797</v>
      </c>
      <c r="O298" t="s">
        <v>1798</v>
      </c>
      <c r="P298" t="s">
        <v>64</v>
      </c>
      <c r="Q298" t="s">
        <v>288</v>
      </c>
      <c r="R298" t="s">
        <v>1799</v>
      </c>
      <c r="S298">
        <v>104.88</v>
      </c>
      <c r="T298">
        <v>41.951999999999998</v>
      </c>
      <c r="U298">
        <v>0.4</v>
      </c>
      <c r="V298">
        <v>6</v>
      </c>
      <c r="W298">
        <v>0</v>
      </c>
      <c r="X298">
        <v>2017</v>
      </c>
      <c r="Y298">
        <v>9</v>
      </c>
      <c r="Z298" t="s">
        <v>93</v>
      </c>
    </row>
    <row r="299" spans="1:26" x14ac:dyDescent="0.35">
      <c r="A299">
        <v>3663</v>
      </c>
      <c r="B299" t="s">
        <v>1800</v>
      </c>
      <c r="C299" s="1">
        <v>42801</v>
      </c>
      <c r="D299" s="1">
        <v>42985</v>
      </c>
      <c r="E299">
        <v>184</v>
      </c>
      <c r="F299" t="s">
        <v>1801</v>
      </c>
      <c r="G299" t="s">
        <v>1802</v>
      </c>
      <c r="H299" t="s">
        <v>107</v>
      </c>
      <c r="I299" t="s">
        <v>44</v>
      </c>
      <c r="J299" t="s">
        <v>31</v>
      </c>
      <c r="K299" t="s">
        <v>337</v>
      </c>
      <c r="L299" t="s">
        <v>1803</v>
      </c>
      <c r="M299" t="s">
        <v>126</v>
      </c>
      <c r="N299" t="s">
        <v>1804</v>
      </c>
      <c r="O299" t="s">
        <v>1805</v>
      </c>
      <c r="P299" t="s">
        <v>64</v>
      </c>
      <c r="Q299" t="s">
        <v>288</v>
      </c>
      <c r="R299" t="s">
        <v>1806</v>
      </c>
      <c r="S299">
        <v>258.89999999999998</v>
      </c>
      <c r="T299">
        <v>93.203999999999994</v>
      </c>
      <c r="U299">
        <v>0.36</v>
      </c>
      <c r="V299">
        <v>10</v>
      </c>
      <c r="W299">
        <v>0</v>
      </c>
      <c r="X299">
        <v>2017</v>
      </c>
      <c r="Y299">
        <v>3</v>
      </c>
      <c r="Z299" t="s">
        <v>103</v>
      </c>
    </row>
    <row r="300" spans="1:26" x14ac:dyDescent="0.35">
      <c r="A300">
        <v>3727</v>
      </c>
      <c r="B300" t="s">
        <v>1807</v>
      </c>
      <c r="C300" s="1">
        <v>42496</v>
      </c>
      <c r="D300" s="1">
        <v>42680</v>
      </c>
      <c r="E300">
        <v>184</v>
      </c>
      <c r="F300" t="s">
        <v>1808</v>
      </c>
      <c r="G300" t="s">
        <v>1809</v>
      </c>
      <c r="H300" t="s">
        <v>29</v>
      </c>
      <c r="I300" t="s">
        <v>44</v>
      </c>
      <c r="J300" t="s">
        <v>31</v>
      </c>
      <c r="K300" t="s">
        <v>1077</v>
      </c>
      <c r="L300" t="s">
        <v>1078</v>
      </c>
      <c r="M300" t="s">
        <v>126</v>
      </c>
      <c r="N300" t="s">
        <v>1079</v>
      </c>
      <c r="O300" t="s">
        <v>1810</v>
      </c>
      <c r="P300" t="s">
        <v>50</v>
      </c>
      <c r="Q300" t="s">
        <v>110</v>
      </c>
      <c r="R300" t="s">
        <v>1811</v>
      </c>
      <c r="S300">
        <v>360.38</v>
      </c>
      <c r="T300">
        <v>93.698800000000006</v>
      </c>
      <c r="U300">
        <v>0.26</v>
      </c>
      <c r="V300">
        <v>2</v>
      </c>
      <c r="W300">
        <v>0</v>
      </c>
      <c r="X300">
        <v>2016</v>
      </c>
      <c r="Y300">
        <v>5</v>
      </c>
      <c r="Z300" t="s">
        <v>53</v>
      </c>
    </row>
    <row r="301" spans="1:26" x14ac:dyDescent="0.35">
      <c r="A301">
        <v>3735</v>
      </c>
      <c r="B301" t="s">
        <v>1812</v>
      </c>
      <c r="C301" s="1">
        <v>42889</v>
      </c>
      <c r="D301" s="1">
        <v>43042</v>
      </c>
      <c r="E301">
        <v>153</v>
      </c>
      <c r="F301" t="s">
        <v>1813</v>
      </c>
      <c r="G301" t="s">
        <v>1814</v>
      </c>
      <c r="H301" t="s">
        <v>29</v>
      </c>
      <c r="I301" t="s">
        <v>30</v>
      </c>
      <c r="J301" t="s">
        <v>31</v>
      </c>
      <c r="K301" t="s">
        <v>124</v>
      </c>
      <c r="L301" t="s">
        <v>125</v>
      </c>
      <c r="M301" t="s">
        <v>126</v>
      </c>
      <c r="N301" t="s">
        <v>740</v>
      </c>
      <c r="O301" t="s">
        <v>1815</v>
      </c>
      <c r="P301" t="s">
        <v>50</v>
      </c>
      <c r="Q301" t="s">
        <v>83</v>
      </c>
      <c r="R301" t="s">
        <v>1816</v>
      </c>
      <c r="S301">
        <v>26.38</v>
      </c>
      <c r="T301">
        <v>12.1348</v>
      </c>
      <c r="U301">
        <v>0.46</v>
      </c>
      <c r="V301">
        <v>1</v>
      </c>
      <c r="W301">
        <v>0</v>
      </c>
      <c r="X301">
        <v>2017</v>
      </c>
      <c r="Y301">
        <v>6</v>
      </c>
      <c r="Z301" t="s">
        <v>120</v>
      </c>
    </row>
    <row r="302" spans="1:26" x14ac:dyDescent="0.35">
      <c r="A302">
        <v>3773</v>
      </c>
      <c r="B302" t="s">
        <v>1817</v>
      </c>
      <c r="C302" s="1">
        <v>41798</v>
      </c>
      <c r="D302" s="1">
        <v>41951</v>
      </c>
      <c r="E302">
        <v>153</v>
      </c>
      <c r="F302" t="s">
        <v>604</v>
      </c>
      <c r="G302" t="s">
        <v>605</v>
      </c>
      <c r="H302" t="s">
        <v>29</v>
      </c>
      <c r="I302" t="s">
        <v>30</v>
      </c>
      <c r="J302" t="s">
        <v>31</v>
      </c>
      <c r="K302" t="s">
        <v>1106</v>
      </c>
      <c r="L302" t="s">
        <v>634</v>
      </c>
      <c r="M302" t="s">
        <v>34</v>
      </c>
      <c r="N302" t="s">
        <v>1107</v>
      </c>
      <c r="O302" t="s">
        <v>1818</v>
      </c>
      <c r="P302" t="s">
        <v>64</v>
      </c>
      <c r="Q302" t="s">
        <v>288</v>
      </c>
      <c r="R302" t="s">
        <v>1819</v>
      </c>
      <c r="S302">
        <v>62.91</v>
      </c>
      <c r="T302">
        <v>22.647600000000001</v>
      </c>
      <c r="U302">
        <v>0.36000000000000004</v>
      </c>
      <c r="V302">
        <v>3</v>
      </c>
      <c r="W302">
        <v>0</v>
      </c>
      <c r="X302">
        <v>2014</v>
      </c>
      <c r="Y302">
        <v>6</v>
      </c>
      <c r="Z302" t="s">
        <v>120</v>
      </c>
    </row>
    <row r="303" spans="1:26" x14ac:dyDescent="0.35">
      <c r="A303">
        <v>3813</v>
      </c>
      <c r="B303" t="s">
        <v>1820</v>
      </c>
      <c r="C303" s="1">
        <v>42858</v>
      </c>
      <c r="D303" s="1">
        <v>42858</v>
      </c>
      <c r="E303">
        <v>0</v>
      </c>
      <c r="F303" t="s">
        <v>402</v>
      </c>
      <c r="G303" t="s">
        <v>403</v>
      </c>
      <c r="H303" t="s">
        <v>29</v>
      </c>
      <c r="I303" t="s">
        <v>543</v>
      </c>
      <c r="J303" t="s">
        <v>31</v>
      </c>
      <c r="K303" t="s">
        <v>197</v>
      </c>
      <c r="L303" t="s">
        <v>859</v>
      </c>
      <c r="M303" t="s">
        <v>61</v>
      </c>
      <c r="N303" t="s">
        <v>860</v>
      </c>
      <c r="O303" t="s">
        <v>1821</v>
      </c>
      <c r="P303" t="s">
        <v>50</v>
      </c>
      <c r="Q303" t="s">
        <v>267</v>
      </c>
      <c r="R303" t="s">
        <v>1822</v>
      </c>
      <c r="S303">
        <v>25.06</v>
      </c>
      <c r="T303">
        <v>11.7782</v>
      </c>
      <c r="U303">
        <v>0.47000000000000003</v>
      </c>
      <c r="V303">
        <v>2</v>
      </c>
      <c r="W303">
        <v>0</v>
      </c>
      <c r="X303">
        <v>2017</v>
      </c>
      <c r="Y303">
        <v>5</v>
      </c>
      <c r="Z303" t="s">
        <v>53</v>
      </c>
    </row>
    <row r="304" spans="1:26" x14ac:dyDescent="0.35">
      <c r="A304">
        <v>3854</v>
      </c>
      <c r="B304" t="s">
        <v>1823</v>
      </c>
      <c r="C304" s="1">
        <v>42892</v>
      </c>
      <c r="D304" s="1">
        <v>43014</v>
      </c>
      <c r="E304">
        <v>122</v>
      </c>
      <c r="F304" t="s">
        <v>1824</v>
      </c>
      <c r="G304" t="s">
        <v>1825</v>
      </c>
      <c r="H304" t="s">
        <v>107</v>
      </c>
      <c r="I304" t="s">
        <v>44</v>
      </c>
      <c r="J304" t="s">
        <v>31</v>
      </c>
      <c r="K304" t="s">
        <v>205</v>
      </c>
      <c r="L304" t="s">
        <v>371</v>
      </c>
      <c r="M304" t="s">
        <v>47</v>
      </c>
      <c r="N304" t="s">
        <v>691</v>
      </c>
      <c r="O304" t="s">
        <v>1826</v>
      </c>
      <c r="P304" t="s">
        <v>37</v>
      </c>
      <c r="Q304" t="s">
        <v>129</v>
      </c>
      <c r="R304" t="s">
        <v>1827</v>
      </c>
      <c r="S304">
        <v>4.95</v>
      </c>
      <c r="T304">
        <v>2.1779999999999999</v>
      </c>
      <c r="U304">
        <v>0.43999999999999995</v>
      </c>
      <c r="V304">
        <v>1</v>
      </c>
      <c r="W304">
        <v>0</v>
      </c>
      <c r="X304">
        <v>2017</v>
      </c>
      <c r="Y304">
        <v>6</v>
      </c>
      <c r="Z304" t="s">
        <v>120</v>
      </c>
    </row>
    <row r="305" spans="1:26" x14ac:dyDescent="0.35">
      <c r="A305">
        <v>3862</v>
      </c>
      <c r="B305" t="s">
        <v>1828</v>
      </c>
      <c r="C305" s="1">
        <v>41703</v>
      </c>
      <c r="D305" s="1">
        <v>41917</v>
      </c>
      <c r="E305">
        <v>214</v>
      </c>
      <c r="F305" t="s">
        <v>1829</v>
      </c>
      <c r="G305" t="s">
        <v>1830</v>
      </c>
      <c r="H305" t="s">
        <v>29</v>
      </c>
      <c r="I305" t="s">
        <v>44</v>
      </c>
      <c r="J305" t="s">
        <v>31</v>
      </c>
      <c r="K305" t="s">
        <v>124</v>
      </c>
      <c r="L305" t="s">
        <v>1831</v>
      </c>
      <c r="M305" t="s">
        <v>126</v>
      </c>
      <c r="N305" t="s">
        <v>1832</v>
      </c>
      <c r="O305" t="s">
        <v>1833</v>
      </c>
      <c r="P305" t="s">
        <v>50</v>
      </c>
      <c r="Q305" t="s">
        <v>51</v>
      </c>
      <c r="R305" t="s">
        <v>1834</v>
      </c>
      <c r="S305">
        <v>40.176000000000002</v>
      </c>
      <c r="T305">
        <v>14.563800000000001</v>
      </c>
      <c r="U305">
        <v>0.36249999999999999</v>
      </c>
      <c r="V305">
        <v>3</v>
      </c>
      <c r="W305">
        <v>0.2</v>
      </c>
      <c r="X305">
        <v>2014</v>
      </c>
      <c r="Y305">
        <v>3</v>
      </c>
      <c r="Z305" t="s">
        <v>103</v>
      </c>
    </row>
    <row r="306" spans="1:26" x14ac:dyDescent="0.35">
      <c r="A306">
        <v>3887</v>
      </c>
      <c r="B306" t="s">
        <v>1835</v>
      </c>
      <c r="C306" s="1">
        <v>42432</v>
      </c>
      <c r="D306" s="1">
        <v>42585</v>
      </c>
      <c r="E306">
        <v>153</v>
      </c>
      <c r="F306" t="s">
        <v>285</v>
      </c>
      <c r="G306" t="s">
        <v>286</v>
      </c>
      <c r="H306" t="s">
        <v>29</v>
      </c>
      <c r="I306" t="s">
        <v>30</v>
      </c>
      <c r="J306" t="s">
        <v>31</v>
      </c>
      <c r="K306" t="s">
        <v>536</v>
      </c>
      <c r="L306" t="s">
        <v>1836</v>
      </c>
      <c r="M306" t="s">
        <v>61</v>
      </c>
      <c r="N306" t="s">
        <v>1837</v>
      </c>
      <c r="O306" t="s">
        <v>1838</v>
      </c>
      <c r="P306" t="s">
        <v>64</v>
      </c>
      <c r="Q306" t="s">
        <v>65</v>
      </c>
      <c r="R306" t="s">
        <v>1839</v>
      </c>
      <c r="S306">
        <v>134.85</v>
      </c>
      <c r="T306">
        <v>37.758000000000003</v>
      </c>
      <c r="U306">
        <v>0.28000000000000003</v>
      </c>
      <c r="V306">
        <v>3</v>
      </c>
      <c r="W306">
        <v>0</v>
      </c>
      <c r="X306">
        <v>2016</v>
      </c>
      <c r="Y306">
        <v>3</v>
      </c>
      <c r="Z306" t="s">
        <v>103</v>
      </c>
    </row>
    <row r="307" spans="1:26" x14ac:dyDescent="0.35">
      <c r="A307">
        <v>3888</v>
      </c>
      <c r="B307" t="s">
        <v>1840</v>
      </c>
      <c r="C307" s="1">
        <v>41676</v>
      </c>
      <c r="D307" s="1">
        <v>41796</v>
      </c>
      <c r="E307">
        <v>120</v>
      </c>
      <c r="F307" t="s">
        <v>1841</v>
      </c>
      <c r="G307" t="s">
        <v>1842</v>
      </c>
      <c r="H307" t="s">
        <v>29</v>
      </c>
      <c r="I307" t="s">
        <v>44</v>
      </c>
      <c r="J307" t="s">
        <v>31</v>
      </c>
      <c r="K307" t="s">
        <v>345</v>
      </c>
      <c r="L307" t="s">
        <v>1843</v>
      </c>
      <c r="M307" t="s">
        <v>34</v>
      </c>
      <c r="N307" t="s">
        <v>1844</v>
      </c>
      <c r="O307" t="s">
        <v>1845</v>
      </c>
      <c r="P307" t="s">
        <v>50</v>
      </c>
      <c r="Q307" t="s">
        <v>74</v>
      </c>
      <c r="R307" t="s">
        <v>1846</v>
      </c>
      <c r="S307">
        <v>8.56</v>
      </c>
      <c r="T307">
        <v>2.6536</v>
      </c>
      <c r="U307">
        <v>0.31</v>
      </c>
      <c r="V307">
        <v>2</v>
      </c>
      <c r="W307">
        <v>0</v>
      </c>
      <c r="X307">
        <v>2014</v>
      </c>
      <c r="Y307">
        <v>2</v>
      </c>
      <c r="Z307" t="s">
        <v>162</v>
      </c>
    </row>
    <row r="308" spans="1:26" x14ac:dyDescent="0.35">
      <c r="A308">
        <v>3896</v>
      </c>
      <c r="B308" t="s">
        <v>1847</v>
      </c>
      <c r="C308" s="1">
        <v>42740</v>
      </c>
      <c r="D308" s="1">
        <v>42860</v>
      </c>
      <c r="E308">
        <v>120</v>
      </c>
      <c r="F308" t="s">
        <v>1848</v>
      </c>
      <c r="G308" t="s">
        <v>1849</v>
      </c>
      <c r="H308" t="s">
        <v>107</v>
      </c>
      <c r="I308" t="s">
        <v>44</v>
      </c>
      <c r="J308" t="s">
        <v>31</v>
      </c>
      <c r="K308" t="s">
        <v>1850</v>
      </c>
      <c r="L308" t="s">
        <v>1851</v>
      </c>
      <c r="M308" t="s">
        <v>34</v>
      </c>
      <c r="N308" t="s">
        <v>1852</v>
      </c>
      <c r="O308" t="s">
        <v>1853</v>
      </c>
      <c r="P308" t="s">
        <v>64</v>
      </c>
      <c r="Q308" t="s">
        <v>288</v>
      </c>
      <c r="R308" t="s">
        <v>1854</v>
      </c>
      <c r="S308">
        <v>48.9</v>
      </c>
      <c r="T308">
        <v>18.093</v>
      </c>
      <c r="U308">
        <v>0.37</v>
      </c>
      <c r="V308">
        <v>5</v>
      </c>
      <c r="W308">
        <v>0</v>
      </c>
      <c r="X308">
        <v>2017</v>
      </c>
      <c r="Y308">
        <v>1</v>
      </c>
      <c r="Z308" t="s">
        <v>147</v>
      </c>
    </row>
    <row r="309" spans="1:26" x14ac:dyDescent="0.35">
      <c r="A309">
        <v>3900</v>
      </c>
      <c r="B309" t="s">
        <v>1855</v>
      </c>
      <c r="C309" s="1">
        <v>42928</v>
      </c>
      <c r="D309" s="1">
        <v>42990</v>
      </c>
      <c r="E309">
        <v>62</v>
      </c>
      <c r="F309" t="s">
        <v>1606</v>
      </c>
      <c r="G309" t="s">
        <v>1607</v>
      </c>
      <c r="H309" t="s">
        <v>29</v>
      </c>
      <c r="I309" t="s">
        <v>58</v>
      </c>
      <c r="J309" t="s">
        <v>31</v>
      </c>
      <c r="K309" t="s">
        <v>181</v>
      </c>
      <c r="L309" t="s">
        <v>1400</v>
      </c>
      <c r="M309" t="s">
        <v>126</v>
      </c>
      <c r="N309" t="s">
        <v>1401</v>
      </c>
      <c r="O309" t="s">
        <v>1856</v>
      </c>
      <c r="P309" t="s">
        <v>64</v>
      </c>
      <c r="Q309" t="s">
        <v>288</v>
      </c>
      <c r="R309" t="s">
        <v>1857</v>
      </c>
      <c r="S309">
        <v>127.98399999999999</v>
      </c>
      <c r="T309">
        <v>25.596800000000002</v>
      </c>
      <c r="U309">
        <v>0.2</v>
      </c>
      <c r="V309">
        <v>2</v>
      </c>
      <c r="W309">
        <v>0.2</v>
      </c>
      <c r="X309">
        <v>2017</v>
      </c>
      <c r="Y309">
        <v>7</v>
      </c>
      <c r="Z309" t="s">
        <v>217</v>
      </c>
    </row>
    <row r="310" spans="1:26" x14ac:dyDescent="0.35">
      <c r="A310">
        <v>3912</v>
      </c>
      <c r="B310" t="s">
        <v>1858</v>
      </c>
      <c r="C310" s="1">
        <v>42861</v>
      </c>
      <c r="D310" s="1">
        <v>42892</v>
      </c>
      <c r="E310">
        <v>31</v>
      </c>
      <c r="F310" t="s">
        <v>1859</v>
      </c>
      <c r="G310" t="s">
        <v>1860</v>
      </c>
      <c r="H310" t="s">
        <v>29</v>
      </c>
      <c r="I310" t="s">
        <v>58</v>
      </c>
      <c r="J310" t="s">
        <v>31</v>
      </c>
      <c r="K310" t="s">
        <v>59</v>
      </c>
      <c r="L310" t="s">
        <v>1861</v>
      </c>
      <c r="M310" t="s">
        <v>61</v>
      </c>
      <c r="N310" t="s">
        <v>1862</v>
      </c>
      <c r="O310" t="s">
        <v>1863</v>
      </c>
      <c r="P310" t="s">
        <v>64</v>
      </c>
      <c r="Q310" t="s">
        <v>65</v>
      </c>
      <c r="R310" t="s">
        <v>1864</v>
      </c>
      <c r="S310">
        <v>470.37599999999998</v>
      </c>
      <c r="T310">
        <v>52.917299999999997</v>
      </c>
      <c r="U310">
        <v>0.1125</v>
      </c>
      <c r="V310">
        <v>3</v>
      </c>
      <c r="W310">
        <v>0.2</v>
      </c>
      <c r="X310">
        <v>2017</v>
      </c>
      <c r="Y310">
        <v>5</v>
      </c>
      <c r="Z310" t="s">
        <v>53</v>
      </c>
    </row>
    <row r="311" spans="1:26" x14ac:dyDescent="0.35">
      <c r="A311">
        <v>3953</v>
      </c>
      <c r="B311" t="s">
        <v>1865</v>
      </c>
      <c r="C311" s="1">
        <v>42372</v>
      </c>
      <c r="D311" s="1">
        <v>42585</v>
      </c>
      <c r="E311">
        <v>213</v>
      </c>
      <c r="F311" t="s">
        <v>1866</v>
      </c>
      <c r="G311" t="s">
        <v>1867</v>
      </c>
      <c r="H311" t="s">
        <v>57</v>
      </c>
      <c r="I311" t="s">
        <v>44</v>
      </c>
      <c r="J311" t="s">
        <v>31</v>
      </c>
      <c r="K311" t="s">
        <v>242</v>
      </c>
      <c r="L311" t="s">
        <v>243</v>
      </c>
      <c r="M311" t="s">
        <v>47</v>
      </c>
      <c r="N311" t="s">
        <v>244</v>
      </c>
      <c r="O311" t="s">
        <v>1868</v>
      </c>
      <c r="P311" t="s">
        <v>64</v>
      </c>
      <c r="Q311" t="s">
        <v>65</v>
      </c>
      <c r="R311" t="s">
        <v>1869</v>
      </c>
      <c r="S311">
        <v>159.98400000000001</v>
      </c>
      <c r="T311">
        <v>13.9986</v>
      </c>
      <c r="U311">
        <v>8.7499999999999994E-2</v>
      </c>
      <c r="V311">
        <v>2</v>
      </c>
      <c r="W311">
        <v>0.2</v>
      </c>
      <c r="X311">
        <v>2016</v>
      </c>
      <c r="Y311">
        <v>1</v>
      </c>
      <c r="Z311" t="s">
        <v>147</v>
      </c>
    </row>
    <row r="312" spans="1:26" x14ac:dyDescent="0.35">
      <c r="A312">
        <v>3978</v>
      </c>
      <c r="B312" t="s">
        <v>1870</v>
      </c>
      <c r="C312" s="1">
        <v>42776</v>
      </c>
      <c r="D312" s="1">
        <v>42926</v>
      </c>
      <c r="E312">
        <v>150</v>
      </c>
      <c r="F312" t="s">
        <v>1871</v>
      </c>
      <c r="G312" t="s">
        <v>1872</v>
      </c>
      <c r="H312" t="s">
        <v>107</v>
      </c>
      <c r="I312" t="s">
        <v>44</v>
      </c>
      <c r="J312" t="s">
        <v>31</v>
      </c>
      <c r="K312" t="s">
        <v>45</v>
      </c>
      <c r="L312" t="s">
        <v>46</v>
      </c>
      <c r="M312" t="s">
        <v>47</v>
      </c>
      <c r="N312" t="s">
        <v>378</v>
      </c>
      <c r="O312" t="s">
        <v>1873</v>
      </c>
      <c r="P312" t="s">
        <v>50</v>
      </c>
      <c r="Q312" t="s">
        <v>486</v>
      </c>
      <c r="R312" t="s">
        <v>524</v>
      </c>
      <c r="S312">
        <v>8.94</v>
      </c>
      <c r="T312">
        <v>4.1124000000000001</v>
      </c>
      <c r="U312">
        <v>0.46</v>
      </c>
      <c r="V312">
        <v>3</v>
      </c>
      <c r="W312">
        <v>0</v>
      </c>
      <c r="X312">
        <v>2017</v>
      </c>
      <c r="Y312">
        <v>2</v>
      </c>
      <c r="Z312" t="s">
        <v>162</v>
      </c>
    </row>
    <row r="313" spans="1:26" x14ac:dyDescent="0.35">
      <c r="A313">
        <v>4010</v>
      </c>
      <c r="B313" t="s">
        <v>1874</v>
      </c>
      <c r="C313" s="1">
        <v>42736</v>
      </c>
      <c r="D313" s="1">
        <v>42856</v>
      </c>
      <c r="E313">
        <v>120</v>
      </c>
      <c r="F313" t="s">
        <v>1875</v>
      </c>
      <c r="G313" t="s">
        <v>1876</v>
      </c>
      <c r="H313" t="s">
        <v>29</v>
      </c>
      <c r="I313" t="s">
        <v>44</v>
      </c>
      <c r="J313" t="s">
        <v>31</v>
      </c>
      <c r="K313" t="s">
        <v>205</v>
      </c>
      <c r="L313" t="s">
        <v>206</v>
      </c>
      <c r="M313" t="s">
        <v>47</v>
      </c>
      <c r="N313" t="s">
        <v>436</v>
      </c>
      <c r="O313" t="s">
        <v>1877</v>
      </c>
      <c r="P313" t="s">
        <v>37</v>
      </c>
      <c r="Q313" t="s">
        <v>129</v>
      </c>
      <c r="R313" t="s">
        <v>1878</v>
      </c>
      <c r="S313">
        <v>474.43</v>
      </c>
      <c r="T313">
        <v>199.26060000000001</v>
      </c>
      <c r="U313">
        <v>0.42000000000000004</v>
      </c>
      <c r="V313">
        <v>11</v>
      </c>
      <c r="W313">
        <v>0</v>
      </c>
      <c r="X313">
        <v>2017</v>
      </c>
      <c r="Y313">
        <v>1</v>
      </c>
      <c r="Z313" t="s">
        <v>147</v>
      </c>
    </row>
    <row r="314" spans="1:26" x14ac:dyDescent="0.35">
      <c r="A314">
        <v>4085</v>
      </c>
      <c r="B314" t="s">
        <v>1879</v>
      </c>
      <c r="C314" s="1">
        <v>42925</v>
      </c>
      <c r="D314" s="1">
        <v>42987</v>
      </c>
      <c r="E314">
        <v>62</v>
      </c>
      <c r="F314" t="s">
        <v>1880</v>
      </c>
      <c r="G314" t="s">
        <v>1881</v>
      </c>
      <c r="H314" t="s">
        <v>107</v>
      </c>
      <c r="I314" t="s">
        <v>58</v>
      </c>
      <c r="J314" t="s">
        <v>31</v>
      </c>
      <c r="K314" t="s">
        <v>70</v>
      </c>
      <c r="L314" t="s">
        <v>174</v>
      </c>
      <c r="M314" t="s">
        <v>47</v>
      </c>
      <c r="N314" t="s">
        <v>175</v>
      </c>
      <c r="O314" t="s">
        <v>1882</v>
      </c>
      <c r="P314" t="s">
        <v>50</v>
      </c>
      <c r="Q314" t="s">
        <v>51</v>
      </c>
      <c r="R314" t="s">
        <v>1883</v>
      </c>
      <c r="S314">
        <v>7.8570000000000002</v>
      </c>
      <c r="T314">
        <v>-6.0236999999999998</v>
      </c>
      <c r="U314">
        <v>-0.76666666666666661</v>
      </c>
      <c r="V314">
        <v>3</v>
      </c>
      <c r="W314">
        <v>0.7</v>
      </c>
      <c r="X314">
        <v>2017</v>
      </c>
      <c r="Y314">
        <v>7</v>
      </c>
      <c r="Z314" t="s">
        <v>217</v>
      </c>
    </row>
    <row r="315" spans="1:26" x14ac:dyDescent="0.35">
      <c r="A315">
        <v>4086</v>
      </c>
      <c r="B315" t="s">
        <v>1884</v>
      </c>
      <c r="C315" s="1">
        <v>42468</v>
      </c>
      <c r="D315" s="1">
        <v>42529</v>
      </c>
      <c r="E315">
        <v>61</v>
      </c>
      <c r="F315" t="s">
        <v>1885</v>
      </c>
      <c r="G315" t="s">
        <v>1886</v>
      </c>
      <c r="H315" t="s">
        <v>57</v>
      </c>
      <c r="I315" t="s">
        <v>30</v>
      </c>
      <c r="J315" t="s">
        <v>31</v>
      </c>
      <c r="K315" t="s">
        <v>205</v>
      </c>
      <c r="L315" t="s">
        <v>1887</v>
      </c>
      <c r="M315" t="s">
        <v>47</v>
      </c>
      <c r="N315" t="s">
        <v>1888</v>
      </c>
      <c r="O315" t="s">
        <v>1889</v>
      </c>
      <c r="P315" t="s">
        <v>64</v>
      </c>
      <c r="Q315" t="s">
        <v>65</v>
      </c>
      <c r="R315" t="s">
        <v>1890</v>
      </c>
      <c r="S315">
        <v>302.38400000000001</v>
      </c>
      <c r="T315">
        <v>30.238399999999999</v>
      </c>
      <c r="U315">
        <v>9.9999999999999992E-2</v>
      </c>
      <c r="V315">
        <v>2</v>
      </c>
      <c r="W315">
        <v>0.2</v>
      </c>
      <c r="X315">
        <v>2016</v>
      </c>
      <c r="Y315">
        <v>4</v>
      </c>
      <c r="Z315" t="s">
        <v>85</v>
      </c>
    </row>
    <row r="316" spans="1:26" x14ac:dyDescent="0.35">
      <c r="A316">
        <v>4121</v>
      </c>
      <c r="B316" t="s">
        <v>1891</v>
      </c>
      <c r="C316" s="1">
        <v>42834</v>
      </c>
      <c r="D316" s="1">
        <v>43017</v>
      </c>
      <c r="E316">
        <v>183</v>
      </c>
      <c r="F316" t="s">
        <v>1892</v>
      </c>
      <c r="G316" t="s">
        <v>1893</v>
      </c>
      <c r="H316" t="s">
        <v>29</v>
      </c>
      <c r="I316" t="s">
        <v>44</v>
      </c>
      <c r="J316" t="s">
        <v>31</v>
      </c>
      <c r="K316" t="s">
        <v>189</v>
      </c>
      <c r="L316" t="s">
        <v>190</v>
      </c>
      <c r="M316" t="s">
        <v>126</v>
      </c>
      <c r="N316" t="s">
        <v>1441</v>
      </c>
      <c r="O316" t="s">
        <v>1894</v>
      </c>
      <c r="P316" t="s">
        <v>64</v>
      </c>
      <c r="Q316" t="s">
        <v>288</v>
      </c>
      <c r="R316" t="s">
        <v>1895</v>
      </c>
      <c r="S316">
        <v>19.04</v>
      </c>
      <c r="T316">
        <v>-1.4279999999999999</v>
      </c>
      <c r="U316">
        <v>-7.4999999999999997E-2</v>
      </c>
      <c r="V316">
        <v>4</v>
      </c>
      <c r="W316">
        <v>0.2</v>
      </c>
      <c r="X316">
        <v>2017</v>
      </c>
      <c r="Y316">
        <v>4</v>
      </c>
      <c r="Z316" t="s">
        <v>85</v>
      </c>
    </row>
    <row r="317" spans="1:26" x14ac:dyDescent="0.35">
      <c r="A317">
        <v>4127</v>
      </c>
      <c r="B317" t="s">
        <v>1896</v>
      </c>
      <c r="C317" s="1">
        <v>42891</v>
      </c>
      <c r="D317" s="1">
        <v>42983</v>
      </c>
      <c r="E317">
        <v>92</v>
      </c>
      <c r="F317" t="s">
        <v>141</v>
      </c>
      <c r="G317" t="s">
        <v>142</v>
      </c>
      <c r="H317" t="s">
        <v>29</v>
      </c>
      <c r="I317" t="s">
        <v>58</v>
      </c>
      <c r="J317" t="s">
        <v>31</v>
      </c>
      <c r="K317" t="s">
        <v>79</v>
      </c>
      <c r="L317" t="s">
        <v>1252</v>
      </c>
      <c r="M317" t="s">
        <v>34</v>
      </c>
      <c r="N317" t="s">
        <v>1897</v>
      </c>
      <c r="O317" t="s">
        <v>1898</v>
      </c>
      <c r="P317" t="s">
        <v>50</v>
      </c>
      <c r="Q317" t="s">
        <v>74</v>
      </c>
      <c r="R317" t="s">
        <v>1899</v>
      </c>
      <c r="S317">
        <v>54.66</v>
      </c>
      <c r="T317">
        <v>18.037800000000001</v>
      </c>
      <c r="U317">
        <v>0.33</v>
      </c>
      <c r="V317">
        <v>6</v>
      </c>
      <c r="W317">
        <v>0</v>
      </c>
      <c r="X317">
        <v>2017</v>
      </c>
      <c r="Y317">
        <v>6</v>
      </c>
      <c r="Z317" t="s">
        <v>120</v>
      </c>
    </row>
    <row r="318" spans="1:26" x14ac:dyDescent="0.35">
      <c r="A318">
        <v>4136</v>
      </c>
      <c r="B318" t="s">
        <v>1900</v>
      </c>
      <c r="C318" s="1">
        <v>42776</v>
      </c>
      <c r="D318" s="1">
        <v>42957</v>
      </c>
      <c r="E318">
        <v>181</v>
      </c>
      <c r="F318" t="s">
        <v>1901</v>
      </c>
      <c r="G318" t="s">
        <v>1902</v>
      </c>
      <c r="H318" t="s">
        <v>107</v>
      </c>
      <c r="I318" t="s">
        <v>44</v>
      </c>
      <c r="J318" t="s">
        <v>31</v>
      </c>
      <c r="K318" t="s">
        <v>205</v>
      </c>
      <c r="L318" t="s">
        <v>206</v>
      </c>
      <c r="M318" t="s">
        <v>47</v>
      </c>
      <c r="N318" t="s">
        <v>436</v>
      </c>
      <c r="O318" t="s">
        <v>1903</v>
      </c>
      <c r="P318" t="s">
        <v>50</v>
      </c>
      <c r="Q318" t="s">
        <v>51</v>
      </c>
      <c r="R318" t="s">
        <v>1904</v>
      </c>
      <c r="S318">
        <v>112.12</v>
      </c>
      <c r="T318">
        <v>42.045000000000002</v>
      </c>
      <c r="U318">
        <v>0.375</v>
      </c>
      <c r="V318">
        <v>5</v>
      </c>
      <c r="W318">
        <v>0.2</v>
      </c>
      <c r="X318">
        <v>2017</v>
      </c>
      <c r="Y318">
        <v>2</v>
      </c>
      <c r="Z318" t="s">
        <v>162</v>
      </c>
    </row>
    <row r="319" spans="1:26" x14ac:dyDescent="0.35">
      <c r="A319">
        <v>4159</v>
      </c>
      <c r="B319" t="s">
        <v>1905</v>
      </c>
      <c r="C319" s="1">
        <v>41650</v>
      </c>
      <c r="D319" s="1">
        <v>41862</v>
      </c>
      <c r="E319">
        <v>212</v>
      </c>
      <c r="F319" t="s">
        <v>1906</v>
      </c>
      <c r="G319" t="s">
        <v>1907</v>
      </c>
      <c r="H319" t="s">
        <v>57</v>
      </c>
      <c r="I319" t="s">
        <v>44</v>
      </c>
      <c r="J319" t="s">
        <v>31</v>
      </c>
      <c r="K319" t="s">
        <v>234</v>
      </c>
      <c r="L319" t="s">
        <v>280</v>
      </c>
      <c r="M319" t="s">
        <v>61</v>
      </c>
      <c r="N319" t="s">
        <v>281</v>
      </c>
      <c r="O319" t="s">
        <v>1908</v>
      </c>
      <c r="P319" t="s">
        <v>50</v>
      </c>
      <c r="Q319" t="s">
        <v>83</v>
      </c>
      <c r="R319" t="s">
        <v>1909</v>
      </c>
      <c r="S319">
        <v>15.696</v>
      </c>
      <c r="T319">
        <v>5.1012000000000004</v>
      </c>
      <c r="U319">
        <v>0.32500000000000001</v>
      </c>
      <c r="V319">
        <v>3</v>
      </c>
      <c r="W319">
        <v>0.2</v>
      </c>
      <c r="X319">
        <v>2014</v>
      </c>
      <c r="Y319">
        <v>1</v>
      </c>
      <c r="Z319" t="s">
        <v>147</v>
      </c>
    </row>
    <row r="320" spans="1:26" x14ac:dyDescent="0.35">
      <c r="A320">
        <v>4173</v>
      </c>
      <c r="B320" t="s">
        <v>1910</v>
      </c>
      <c r="C320" s="1">
        <v>42376</v>
      </c>
      <c r="D320" s="1">
        <v>42376</v>
      </c>
      <c r="E320">
        <v>0</v>
      </c>
      <c r="F320" t="s">
        <v>1911</v>
      </c>
      <c r="G320" t="s">
        <v>1912</v>
      </c>
      <c r="H320" t="s">
        <v>29</v>
      </c>
      <c r="I320" t="s">
        <v>543</v>
      </c>
      <c r="J320" t="s">
        <v>31</v>
      </c>
      <c r="K320" t="s">
        <v>1106</v>
      </c>
      <c r="L320" t="s">
        <v>634</v>
      </c>
      <c r="M320" t="s">
        <v>34</v>
      </c>
      <c r="N320" t="s">
        <v>1107</v>
      </c>
      <c r="O320" t="s">
        <v>1913</v>
      </c>
      <c r="P320" t="s">
        <v>50</v>
      </c>
      <c r="Q320" t="s">
        <v>51</v>
      </c>
      <c r="R320" t="s">
        <v>1914</v>
      </c>
      <c r="S320">
        <v>14.2</v>
      </c>
      <c r="T320">
        <v>6.532</v>
      </c>
      <c r="U320">
        <v>0.46</v>
      </c>
      <c r="V320">
        <v>2</v>
      </c>
      <c r="W320">
        <v>0</v>
      </c>
      <c r="X320">
        <v>2016</v>
      </c>
      <c r="Y320">
        <v>1</v>
      </c>
      <c r="Z320" t="s">
        <v>147</v>
      </c>
    </row>
    <row r="321" spans="1:26" x14ac:dyDescent="0.35">
      <c r="A321">
        <v>4185</v>
      </c>
      <c r="B321" t="s">
        <v>1915</v>
      </c>
      <c r="C321" s="1">
        <v>42502</v>
      </c>
      <c r="D321" s="1">
        <v>42563</v>
      </c>
      <c r="E321">
        <v>61</v>
      </c>
      <c r="F321" t="s">
        <v>1916</v>
      </c>
      <c r="G321" t="s">
        <v>1917</v>
      </c>
      <c r="H321" t="s">
        <v>57</v>
      </c>
      <c r="I321" t="s">
        <v>58</v>
      </c>
      <c r="J321" t="s">
        <v>31</v>
      </c>
      <c r="K321" t="s">
        <v>337</v>
      </c>
      <c r="L321" t="s">
        <v>198</v>
      </c>
      <c r="M321" t="s">
        <v>126</v>
      </c>
      <c r="N321" t="s">
        <v>1918</v>
      </c>
      <c r="O321" t="s">
        <v>1919</v>
      </c>
      <c r="P321" t="s">
        <v>37</v>
      </c>
      <c r="Q321" t="s">
        <v>38</v>
      </c>
      <c r="R321" t="s">
        <v>1920</v>
      </c>
      <c r="S321">
        <v>81.94</v>
      </c>
      <c r="T321">
        <v>20.484999999999999</v>
      </c>
      <c r="U321">
        <v>0.25</v>
      </c>
      <c r="V321">
        <v>1</v>
      </c>
      <c r="W321">
        <v>0</v>
      </c>
      <c r="X321">
        <v>2016</v>
      </c>
      <c r="Y321">
        <v>5</v>
      </c>
      <c r="Z321" t="s">
        <v>53</v>
      </c>
    </row>
    <row r="322" spans="1:26" x14ac:dyDescent="0.35">
      <c r="A322">
        <v>4192</v>
      </c>
      <c r="B322" t="s">
        <v>1921</v>
      </c>
      <c r="C322" s="1">
        <v>42223</v>
      </c>
      <c r="D322" s="1">
        <v>42223</v>
      </c>
      <c r="E322">
        <v>0</v>
      </c>
      <c r="F322" t="s">
        <v>1922</v>
      </c>
      <c r="G322" t="s">
        <v>1923</v>
      </c>
      <c r="H322" t="s">
        <v>29</v>
      </c>
      <c r="I322" t="s">
        <v>543</v>
      </c>
      <c r="J322" t="s">
        <v>31</v>
      </c>
      <c r="K322" t="s">
        <v>59</v>
      </c>
      <c r="L322" t="s">
        <v>89</v>
      </c>
      <c r="M322" t="s">
        <v>61</v>
      </c>
      <c r="N322" t="s">
        <v>879</v>
      </c>
      <c r="O322" t="s">
        <v>1924</v>
      </c>
      <c r="P322" t="s">
        <v>50</v>
      </c>
      <c r="Q322" t="s">
        <v>83</v>
      </c>
      <c r="R322" t="s">
        <v>1925</v>
      </c>
      <c r="S322">
        <v>21.12</v>
      </c>
      <c r="T322">
        <v>6.6</v>
      </c>
      <c r="U322">
        <v>0.31249999999999994</v>
      </c>
      <c r="V322">
        <v>5</v>
      </c>
      <c r="W322">
        <v>0.2</v>
      </c>
      <c r="X322">
        <v>2015</v>
      </c>
      <c r="Y322">
        <v>8</v>
      </c>
      <c r="Z322" t="s">
        <v>40</v>
      </c>
    </row>
    <row r="323" spans="1:26" x14ac:dyDescent="0.35">
      <c r="A323">
        <v>4198</v>
      </c>
      <c r="B323" t="s">
        <v>1926</v>
      </c>
      <c r="C323" s="1">
        <v>42441</v>
      </c>
      <c r="D323" s="1">
        <v>42594</v>
      </c>
      <c r="E323">
        <v>153</v>
      </c>
      <c r="F323" t="s">
        <v>1346</v>
      </c>
      <c r="G323" t="s">
        <v>1347</v>
      </c>
      <c r="H323" t="s">
        <v>29</v>
      </c>
      <c r="I323" t="s">
        <v>44</v>
      </c>
      <c r="J323" t="s">
        <v>31</v>
      </c>
      <c r="K323" t="s">
        <v>189</v>
      </c>
      <c r="L323" t="s">
        <v>190</v>
      </c>
      <c r="M323" t="s">
        <v>126</v>
      </c>
      <c r="N323" t="s">
        <v>430</v>
      </c>
      <c r="O323" t="s">
        <v>1927</v>
      </c>
      <c r="P323" t="s">
        <v>50</v>
      </c>
      <c r="Q323" t="s">
        <v>138</v>
      </c>
      <c r="R323" t="s">
        <v>1928</v>
      </c>
      <c r="S323">
        <v>394.81599999999997</v>
      </c>
      <c r="T323">
        <v>93.768799999999999</v>
      </c>
      <c r="U323">
        <v>0.23750000000000002</v>
      </c>
      <c r="V323">
        <v>4</v>
      </c>
      <c r="W323">
        <v>0.2</v>
      </c>
      <c r="X323">
        <v>2016</v>
      </c>
      <c r="Y323">
        <v>3</v>
      </c>
      <c r="Z323" t="s">
        <v>103</v>
      </c>
    </row>
    <row r="324" spans="1:26" x14ac:dyDescent="0.35">
      <c r="A324">
        <v>4215</v>
      </c>
      <c r="B324" t="s">
        <v>1929</v>
      </c>
      <c r="C324" s="1">
        <v>42463</v>
      </c>
      <c r="D324" s="1">
        <v>42585</v>
      </c>
      <c r="E324">
        <v>122</v>
      </c>
      <c r="F324" t="s">
        <v>1930</v>
      </c>
      <c r="G324" t="s">
        <v>1931</v>
      </c>
      <c r="H324" t="s">
        <v>29</v>
      </c>
      <c r="I324" t="s">
        <v>44</v>
      </c>
      <c r="J324" t="s">
        <v>31</v>
      </c>
      <c r="K324" t="s">
        <v>536</v>
      </c>
      <c r="L324" t="s">
        <v>1932</v>
      </c>
      <c r="M324" t="s">
        <v>61</v>
      </c>
      <c r="N324" t="s">
        <v>1933</v>
      </c>
      <c r="O324" t="s">
        <v>1934</v>
      </c>
      <c r="P324" t="s">
        <v>50</v>
      </c>
      <c r="Q324" t="s">
        <v>51</v>
      </c>
      <c r="R324" t="s">
        <v>1935</v>
      </c>
      <c r="S324">
        <v>128.4</v>
      </c>
      <c r="T324">
        <v>64.2</v>
      </c>
      <c r="U324">
        <v>0.5</v>
      </c>
      <c r="V324">
        <v>3</v>
      </c>
      <c r="W324">
        <v>0</v>
      </c>
      <c r="X324">
        <v>2016</v>
      </c>
      <c r="Y324">
        <v>4</v>
      </c>
      <c r="Z324" t="s">
        <v>85</v>
      </c>
    </row>
    <row r="325" spans="1:26" x14ac:dyDescent="0.35">
      <c r="A325">
        <v>4218</v>
      </c>
      <c r="B325" t="s">
        <v>1936</v>
      </c>
      <c r="C325" s="1">
        <v>42739</v>
      </c>
      <c r="D325" s="1">
        <v>42798</v>
      </c>
      <c r="E325">
        <v>59</v>
      </c>
      <c r="F325" t="s">
        <v>1937</v>
      </c>
      <c r="G325" t="s">
        <v>1938</v>
      </c>
      <c r="H325" t="s">
        <v>57</v>
      </c>
      <c r="I325" t="s">
        <v>58</v>
      </c>
      <c r="J325" t="s">
        <v>31</v>
      </c>
      <c r="K325" t="s">
        <v>205</v>
      </c>
      <c r="L325" t="s">
        <v>371</v>
      </c>
      <c r="M325" t="s">
        <v>47</v>
      </c>
      <c r="N325" t="s">
        <v>372</v>
      </c>
      <c r="O325" t="s">
        <v>1939</v>
      </c>
      <c r="P325" t="s">
        <v>37</v>
      </c>
      <c r="Q325" t="s">
        <v>38</v>
      </c>
      <c r="R325" t="s">
        <v>1940</v>
      </c>
      <c r="S325">
        <v>482.66399999999999</v>
      </c>
      <c r="T325">
        <v>85.176000000000002</v>
      </c>
      <c r="U325">
        <v>0.17647058823529413</v>
      </c>
      <c r="V325">
        <v>8</v>
      </c>
      <c r="W325">
        <v>0.15</v>
      </c>
      <c r="X325">
        <v>2017</v>
      </c>
      <c r="Y325">
        <v>1</v>
      </c>
      <c r="Z325" t="s">
        <v>147</v>
      </c>
    </row>
    <row r="326" spans="1:26" x14ac:dyDescent="0.35">
      <c r="A326">
        <v>4243</v>
      </c>
      <c r="B326" t="s">
        <v>1941</v>
      </c>
      <c r="C326" s="1">
        <v>42464</v>
      </c>
      <c r="D326" s="1">
        <v>42494</v>
      </c>
      <c r="E326">
        <v>30</v>
      </c>
      <c r="F326" t="s">
        <v>1942</v>
      </c>
      <c r="G326" t="s">
        <v>1943</v>
      </c>
      <c r="H326" t="s">
        <v>107</v>
      </c>
      <c r="I326" t="s">
        <v>58</v>
      </c>
      <c r="J326" t="s">
        <v>31</v>
      </c>
      <c r="K326" t="s">
        <v>79</v>
      </c>
      <c r="L326" t="s">
        <v>80</v>
      </c>
      <c r="M326" t="s">
        <v>34</v>
      </c>
      <c r="N326" t="s">
        <v>81</v>
      </c>
      <c r="O326" t="s">
        <v>1944</v>
      </c>
      <c r="P326" t="s">
        <v>64</v>
      </c>
      <c r="Q326" t="s">
        <v>65</v>
      </c>
      <c r="R326" t="s">
        <v>1945</v>
      </c>
      <c r="S326">
        <v>149.97</v>
      </c>
      <c r="T326">
        <v>5.9988000000000001</v>
      </c>
      <c r="U326">
        <v>0.04</v>
      </c>
      <c r="V326">
        <v>3</v>
      </c>
      <c r="W326">
        <v>0</v>
      </c>
      <c r="X326">
        <v>2016</v>
      </c>
      <c r="Y326">
        <v>4</v>
      </c>
      <c r="Z326" t="s">
        <v>85</v>
      </c>
    </row>
    <row r="327" spans="1:26" x14ac:dyDescent="0.35">
      <c r="A327">
        <v>4264</v>
      </c>
      <c r="B327" t="s">
        <v>1946</v>
      </c>
      <c r="C327" s="1">
        <v>42805</v>
      </c>
      <c r="D327" s="1">
        <v>42958</v>
      </c>
      <c r="E327">
        <v>153</v>
      </c>
      <c r="F327" t="s">
        <v>1922</v>
      </c>
      <c r="G327" t="s">
        <v>1923</v>
      </c>
      <c r="H327" t="s">
        <v>29</v>
      </c>
      <c r="I327" t="s">
        <v>44</v>
      </c>
      <c r="J327" t="s">
        <v>31</v>
      </c>
      <c r="K327" t="s">
        <v>189</v>
      </c>
      <c r="L327" t="s">
        <v>190</v>
      </c>
      <c r="M327" t="s">
        <v>126</v>
      </c>
      <c r="N327" t="s">
        <v>685</v>
      </c>
      <c r="O327" t="s">
        <v>1947</v>
      </c>
      <c r="P327" t="s">
        <v>50</v>
      </c>
      <c r="Q327" t="s">
        <v>51</v>
      </c>
      <c r="R327" t="s">
        <v>1948</v>
      </c>
      <c r="S327">
        <v>11.673</v>
      </c>
      <c r="T327">
        <v>-7.782</v>
      </c>
      <c r="U327">
        <v>-0.66666666666666663</v>
      </c>
      <c r="V327">
        <v>3</v>
      </c>
      <c r="W327">
        <v>0.7</v>
      </c>
      <c r="X327">
        <v>2017</v>
      </c>
      <c r="Y327">
        <v>3</v>
      </c>
      <c r="Z327" t="s">
        <v>103</v>
      </c>
    </row>
    <row r="328" spans="1:26" x14ac:dyDescent="0.35">
      <c r="A328">
        <v>4314</v>
      </c>
      <c r="B328" t="s">
        <v>1949</v>
      </c>
      <c r="C328" s="1">
        <v>41860</v>
      </c>
      <c r="D328" s="1">
        <v>41982</v>
      </c>
      <c r="E328">
        <v>122</v>
      </c>
      <c r="F328" t="s">
        <v>1950</v>
      </c>
      <c r="G328" t="s">
        <v>1951</v>
      </c>
      <c r="H328" t="s">
        <v>57</v>
      </c>
      <c r="I328" t="s">
        <v>44</v>
      </c>
      <c r="J328" t="s">
        <v>31</v>
      </c>
      <c r="K328" t="s">
        <v>124</v>
      </c>
      <c r="L328" t="s">
        <v>1638</v>
      </c>
      <c r="M328" t="s">
        <v>126</v>
      </c>
      <c r="N328" t="s">
        <v>1952</v>
      </c>
      <c r="O328" t="s">
        <v>1953</v>
      </c>
      <c r="P328" t="s">
        <v>50</v>
      </c>
      <c r="Q328" t="s">
        <v>138</v>
      </c>
      <c r="R328" t="s">
        <v>1954</v>
      </c>
      <c r="S328">
        <v>16.78</v>
      </c>
      <c r="T328">
        <v>4.1950000000000003</v>
      </c>
      <c r="U328">
        <v>0.25</v>
      </c>
      <c r="V328">
        <v>2</v>
      </c>
      <c r="W328">
        <v>0</v>
      </c>
      <c r="X328">
        <v>2014</v>
      </c>
      <c r="Y328">
        <v>8</v>
      </c>
      <c r="Z328" t="s">
        <v>40</v>
      </c>
    </row>
    <row r="329" spans="1:26" x14ac:dyDescent="0.35">
      <c r="A329">
        <v>4319</v>
      </c>
      <c r="B329" t="s">
        <v>1955</v>
      </c>
      <c r="C329" s="1">
        <v>42928</v>
      </c>
      <c r="D329" s="1">
        <v>43051</v>
      </c>
      <c r="E329">
        <v>123</v>
      </c>
      <c r="F329" t="s">
        <v>1956</v>
      </c>
      <c r="G329" t="s">
        <v>1957</v>
      </c>
      <c r="H329" t="s">
        <v>29</v>
      </c>
      <c r="I329" t="s">
        <v>44</v>
      </c>
      <c r="J329" t="s">
        <v>31</v>
      </c>
      <c r="K329" t="s">
        <v>79</v>
      </c>
      <c r="L329" t="s">
        <v>382</v>
      </c>
      <c r="M329" t="s">
        <v>34</v>
      </c>
      <c r="N329" t="s">
        <v>1958</v>
      </c>
      <c r="O329" t="s">
        <v>1959</v>
      </c>
      <c r="P329" t="s">
        <v>37</v>
      </c>
      <c r="Q329" t="s">
        <v>129</v>
      </c>
      <c r="R329" t="s">
        <v>1960</v>
      </c>
      <c r="S329">
        <v>82.38</v>
      </c>
      <c r="T329">
        <v>25.537800000000001</v>
      </c>
      <c r="U329">
        <v>0.31000000000000005</v>
      </c>
      <c r="V329">
        <v>6</v>
      </c>
      <c r="W329">
        <v>0</v>
      </c>
      <c r="X329">
        <v>2017</v>
      </c>
      <c r="Y329">
        <v>7</v>
      </c>
      <c r="Z329" t="s">
        <v>217</v>
      </c>
    </row>
    <row r="330" spans="1:26" x14ac:dyDescent="0.35">
      <c r="A330">
        <v>4330</v>
      </c>
      <c r="B330" t="s">
        <v>1961</v>
      </c>
      <c r="C330" s="1">
        <v>42804</v>
      </c>
      <c r="D330" s="1">
        <v>42988</v>
      </c>
      <c r="E330">
        <v>184</v>
      </c>
      <c r="F330" t="s">
        <v>1962</v>
      </c>
      <c r="G330" t="s">
        <v>1963</v>
      </c>
      <c r="H330" t="s">
        <v>29</v>
      </c>
      <c r="I330" t="s">
        <v>44</v>
      </c>
      <c r="J330" t="s">
        <v>31</v>
      </c>
      <c r="K330" t="s">
        <v>272</v>
      </c>
      <c r="L330" t="s">
        <v>582</v>
      </c>
      <c r="M330" t="s">
        <v>34</v>
      </c>
      <c r="N330" t="s">
        <v>583</v>
      </c>
      <c r="O330" t="s">
        <v>1964</v>
      </c>
      <c r="P330" t="s">
        <v>50</v>
      </c>
      <c r="Q330" t="s">
        <v>83</v>
      </c>
      <c r="R330" t="s">
        <v>1965</v>
      </c>
      <c r="S330">
        <v>15.552</v>
      </c>
      <c r="T330">
        <v>5.4432</v>
      </c>
      <c r="U330">
        <v>0.35000000000000003</v>
      </c>
      <c r="V330">
        <v>3</v>
      </c>
      <c r="W330">
        <v>0.2</v>
      </c>
      <c r="X330">
        <v>2017</v>
      </c>
      <c r="Y330">
        <v>3</v>
      </c>
      <c r="Z330" t="s">
        <v>103</v>
      </c>
    </row>
    <row r="331" spans="1:26" x14ac:dyDescent="0.35">
      <c r="A331">
        <v>4353</v>
      </c>
      <c r="B331" t="s">
        <v>1966</v>
      </c>
      <c r="C331" s="1">
        <v>43020</v>
      </c>
      <c r="D331" s="1">
        <v>43081</v>
      </c>
      <c r="E331">
        <v>61</v>
      </c>
      <c r="F331" t="s">
        <v>1967</v>
      </c>
      <c r="G331" t="s">
        <v>1968</v>
      </c>
      <c r="H331" t="s">
        <v>29</v>
      </c>
      <c r="I331" t="s">
        <v>30</v>
      </c>
      <c r="J331" t="s">
        <v>31</v>
      </c>
      <c r="K331" t="s">
        <v>205</v>
      </c>
      <c r="L331" t="s">
        <v>1969</v>
      </c>
      <c r="M331" t="s">
        <v>47</v>
      </c>
      <c r="N331" t="s">
        <v>1970</v>
      </c>
      <c r="O331" t="s">
        <v>1971</v>
      </c>
      <c r="P331" t="s">
        <v>64</v>
      </c>
      <c r="Q331" t="s">
        <v>65</v>
      </c>
      <c r="R331" t="s">
        <v>1972</v>
      </c>
      <c r="S331">
        <v>95.84</v>
      </c>
      <c r="T331">
        <v>34.741999999999997</v>
      </c>
      <c r="U331">
        <v>0.36249999999999993</v>
      </c>
      <c r="V331">
        <v>4</v>
      </c>
      <c r="W331">
        <v>0.2</v>
      </c>
      <c r="X331">
        <v>2017</v>
      </c>
      <c r="Y331">
        <v>10</v>
      </c>
      <c r="Z331" t="s">
        <v>694</v>
      </c>
    </row>
    <row r="332" spans="1:26" x14ac:dyDescent="0.35">
      <c r="A332">
        <v>4471</v>
      </c>
      <c r="B332" t="s">
        <v>1973</v>
      </c>
      <c r="C332" s="1">
        <v>42952</v>
      </c>
      <c r="D332" s="1">
        <v>43074</v>
      </c>
      <c r="E332">
        <v>122</v>
      </c>
      <c r="F332" t="s">
        <v>323</v>
      </c>
      <c r="G332" t="s">
        <v>324</v>
      </c>
      <c r="H332" t="s">
        <v>57</v>
      </c>
      <c r="I332" t="s">
        <v>44</v>
      </c>
      <c r="J332" t="s">
        <v>31</v>
      </c>
      <c r="K332" t="s">
        <v>189</v>
      </c>
      <c r="L332" t="s">
        <v>190</v>
      </c>
      <c r="M332" t="s">
        <v>126</v>
      </c>
      <c r="N332" t="s">
        <v>191</v>
      </c>
      <c r="O332" t="s">
        <v>1974</v>
      </c>
      <c r="P332" t="s">
        <v>37</v>
      </c>
      <c r="Q332" t="s">
        <v>320</v>
      </c>
      <c r="R332" t="s">
        <v>1975</v>
      </c>
      <c r="S332">
        <v>128.05799999999999</v>
      </c>
      <c r="T332">
        <v>-23.7822</v>
      </c>
      <c r="U332">
        <v>-0.18571428571428572</v>
      </c>
      <c r="V332">
        <v>3</v>
      </c>
      <c r="W332">
        <v>0.3</v>
      </c>
      <c r="X332">
        <v>2017</v>
      </c>
      <c r="Y332">
        <v>8</v>
      </c>
      <c r="Z332" t="s">
        <v>40</v>
      </c>
    </row>
    <row r="333" spans="1:26" x14ac:dyDescent="0.35">
      <c r="A333">
        <v>4481</v>
      </c>
      <c r="B333" t="s">
        <v>1976</v>
      </c>
      <c r="C333" s="1">
        <v>42440</v>
      </c>
      <c r="D333" s="1">
        <v>42593</v>
      </c>
      <c r="E333">
        <v>153</v>
      </c>
      <c r="F333" t="s">
        <v>421</v>
      </c>
      <c r="G333" t="s">
        <v>422</v>
      </c>
      <c r="H333" t="s">
        <v>29</v>
      </c>
      <c r="I333" t="s">
        <v>44</v>
      </c>
      <c r="J333" t="s">
        <v>31</v>
      </c>
      <c r="K333" t="s">
        <v>205</v>
      </c>
      <c r="L333" t="s">
        <v>206</v>
      </c>
      <c r="M333" t="s">
        <v>47</v>
      </c>
      <c r="N333" t="s">
        <v>949</v>
      </c>
      <c r="O333" t="s">
        <v>1977</v>
      </c>
      <c r="P333" t="s">
        <v>50</v>
      </c>
      <c r="Q333" t="s">
        <v>486</v>
      </c>
      <c r="R333" t="s">
        <v>1978</v>
      </c>
      <c r="S333">
        <v>15.26</v>
      </c>
      <c r="T333">
        <v>5.0358000000000001</v>
      </c>
      <c r="U333">
        <v>0.33</v>
      </c>
      <c r="V333">
        <v>7</v>
      </c>
      <c r="W333">
        <v>0</v>
      </c>
      <c r="X333">
        <v>2016</v>
      </c>
      <c r="Y333">
        <v>3</v>
      </c>
      <c r="Z333" t="s">
        <v>103</v>
      </c>
    </row>
    <row r="334" spans="1:26" x14ac:dyDescent="0.35">
      <c r="A334">
        <v>4492</v>
      </c>
      <c r="B334" t="s">
        <v>1979</v>
      </c>
      <c r="C334" s="1">
        <v>41651</v>
      </c>
      <c r="D334" s="1">
        <v>41710</v>
      </c>
      <c r="E334">
        <v>59</v>
      </c>
      <c r="F334" t="s">
        <v>1980</v>
      </c>
      <c r="G334" t="s">
        <v>1981</v>
      </c>
      <c r="H334" t="s">
        <v>29</v>
      </c>
      <c r="I334" t="s">
        <v>30</v>
      </c>
      <c r="J334" t="s">
        <v>31</v>
      </c>
      <c r="K334" t="s">
        <v>181</v>
      </c>
      <c r="L334" t="s">
        <v>182</v>
      </c>
      <c r="M334" t="s">
        <v>126</v>
      </c>
      <c r="N334" t="s">
        <v>183</v>
      </c>
      <c r="O334" t="s">
        <v>1982</v>
      </c>
      <c r="P334" t="s">
        <v>64</v>
      </c>
      <c r="Q334" t="s">
        <v>614</v>
      </c>
      <c r="R334" t="s">
        <v>1983</v>
      </c>
      <c r="S334">
        <v>659.98800000000006</v>
      </c>
      <c r="T334">
        <v>109.998</v>
      </c>
      <c r="U334">
        <v>0.16666666666666666</v>
      </c>
      <c r="V334">
        <v>2</v>
      </c>
      <c r="W334">
        <v>0.4</v>
      </c>
      <c r="X334">
        <v>2014</v>
      </c>
      <c r="Y334">
        <v>1</v>
      </c>
      <c r="Z334" t="s">
        <v>147</v>
      </c>
    </row>
    <row r="335" spans="1:26" x14ac:dyDescent="0.35">
      <c r="A335">
        <v>4536</v>
      </c>
      <c r="B335" t="s">
        <v>1984</v>
      </c>
      <c r="C335" s="1">
        <v>42954</v>
      </c>
      <c r="D335" s="1">
        <v>43076</v>
      </c>
      <c r="E335">
        <v>122</v>
      </c>
      <c r="F335" t="s">
        <v>1985</v>
      </c>
      <c r="G335" t="s">
        <v>1986</v>
      </c>
      <c r="H335" t="s">
        <v>107</v>
      </c>
      <c r="I335" t="s">
        <v>44</v>
      </c>
      <c r="J335" t="s">
        <v>31</v>
      </c>
      <c r="K335" t="s">
        <v>45</v>
      </c>
      <c r="L335" t="s">
        <v>46</v>
      </c>
      <c r="M335" t="s">
        <v>47</v>
      </c>
      <c r="N335" t="s">
        <v>214</v>
      </c>
      <c r="O335" t="s">
        <v>1987</v>
      </c>
      <c r="P335" t="s">
        <v>37</v>
      </c>
      <c r="Q335" t="s">
        <v>129</v>
      </c>
      <c r="R335" t="s">
        <v>1988</v>
      </c>
      <c r="S335">
        <v>15.84</v>
      </c>
      <c r="T335">
        <v>4.9104000000000001</v>
      </c>
      <c r="U335">
        <v>0.31</v>
      </c>
      <c r="V335">
        <v>3</v>
      </c>
      <c r="W335">
        <v>0</v>
      </c>
      <c r="X335">
        <v>2017</v>
      </c>
      <c r="Y335">
        <v>8</v>
      </c>
      <c r="Z335" t="s">
        <v>40</v>
      </c>
    </row>
    <row r="336" spans="1:26" x14ac:dyDescent="0.35">
      <c r="A336">
        <v>4617</v>
      </c>
      <c r="B336" t="s">
        <v>1989</v>
      </c>
      <c r="C336" s="1">
        <v>42103</v>
      </c>
      <c r="D336" s="1">
        <v>42194</v>
      </c>
      <c r="E336">
        <v>91</v>
      </c>
      <c r="F336" t="s">
        <v>1990</v>
      </c>
      <c r="G336" t="s">
        <v>1991</v>
      </c>
      <c r="H336" t="s">
        <v>57</v>
      </c>
      <c r="I336" t="s">
        <v>30</v>
      </c>
      <c r="J336" t="s">
        <v>31</v>
      </c>
      <c r="K336" t="s">
        <v>59</v>
      </c>
      <c r="L336" t="s">
        <v>89</v>
      </c>
      <c r="M336" t="s">
        <v>61</v>
      </c>
      <c r="N336" t="s">
        <v>108</v>
      </c>
      <c r="O336" t="s">
        <v>1992</v>
      </c>
      <c r="P336" t="s">
        <v>64</v>
      </c>
      <c r="Q336" t="s">
        <v>288</v>
      </c>
      <c r="R336" t="s">
        <v>1993</v>
      </c>
      <c r="S336">
        <v>134.376</v>
      </c>
      <c r="T336">
        <v>6.7187999999999999</v>
      </c>
      <c r="U336">
        <v>4.9999999999999996E-2</v>
      </c>
      <c r="V336">
        <v>3</v>
      </c>
      <c r="W336">
        <v>0.2</v>
      </c>
      <c r="X336">
        <v>2015</v>
      </c>
      <c r="Y336">
        <v>4</v>
      </c>
      <c r="Z336" t="s">
        <v>85</v>
      </c>
    </row>
    <row r="337" spans="1:26" x14ac:dyDescent="0.35">
      <c r="A337">
        <v>4657</v>
      </c>
      <c r="B337" t="s">
        <v>1994</v>
      </c>
      <c r="C337" s="1">
        <v>42068</v>
      </c>
      <c r="D337" s="1">
        <v>42190</v>
      </c>
      <c r="E337">
        <v>122</v>
      </c>
      <c r="F337" t="s">
        <v>1841</v>
      </c>
      <c r="G337" t="s">
        <v>1842</v>
      </c>
      <c r="H337" t="s">
        <v>29</v>
      </c>
      <c r="I337" t="s">
        <v>44</v>
      </c>
      <c r="J337" t="s">
        <v>31</v>
      </c>
      <c r="K337" t="s">
        <v>189</v>
      </c>
      <c r="L337" t="s">
        <v>190</v>
      </c>
      <c r="M337" t="s">
        <v>126</v>
      </c>
      <c r="N337" t="s">
        <v>191</v>
      </c>
      <c r="O337" t="s">
        <v>1995</v>
      </c>
      <c r="P337" t="s">
        <v>50</v>
      </c>
      <c r="Q337" t="s">
        <v>74</v>
      </c>
      <c r="R337" t="s">
        <v>1996</v>
      </c>
      <c r="S337">
        <v>59.904000000000003</v>
      </c>
      <c r="T337">
        <v>14.2272</v>
      </c>
      <c r="U337">
        <v>0.23749999999999999</v>
      </c>
      <c r="V337">
        <v>2</v>
      </c>
      <c r="W337">
        <v>0.2</v>
      </c>
      <c r="X337">
        <v>2015</v>
      </c>
      <c r="Y337">
        <v>3</v>
      </c>
      <c r="Z337" t="s">
        <v>103</v>
      </c>
    </row>
    <row r="338" spans="1:26" x14ac:dyDescent="0.35">
      <c r="A338">
        <v>4669</v>
      </c>
      <c r="B338" t="s">
        <v>1997</v>
      </c>
      <c r="C338" s="1">
        <v>42891</v>
      </c>
      <c r="D338" s="1">
        <v>43044</v>
      </c>
      <c r="E338">
        <v>153</v>
      </c>
      <c r="F338" t="s">
        <v>1998</v>
      </c>
      <c r="G338" t="s">
        <v>1999</v>
      </c>
      <c r="H338" t="s">
        <v>57</v>
      </c>
      <c r="I338" t="s">
        <v>44</v>
      </c>
      <c r="J338" t="s">
        <v>31</v>
      </c>
      <c r="K338" t="s">
        <v>59</v>
      </c>
      <c r="L338" t="s">
        <v>641</v>
      </c>
      <c r="M338" t="s">
        <v>61</v>
      </c>
      <c r="N338" t="s">
        <v>642</v>
      </c>
      <c r="O338" t="s">
        <v>2000</v>
      </c>
      <c r="P338" t="s">
        <v>50</v>
      </c>
      <c r="Q338" t="s">
        <v>51</v>
      </c>
      <c r="R338" t="s">
        <v>2001</v>
      </c>
      <c r="S338">
        <v>11.06</v>
      </c>
      <c r="T338">
        <v>-18.802</v>
      </c>
      <c r="U338">
        <v>-1.7</v>
      </c>
      <c r="V338">
        <v>10</v>
      </c>
      <c r="W338">
        <v>0.8</v>
      </c>
      <c r="X338">
        <v>2017</v>
      </c>
      <c r="Y338">
        <v>6</v>
      </c>
      <c r="Z338" t="s">
        <v>120</v>
      </c>
    </row>
    <row r="339" spans="1:26" x14ac:dyDescent="0.35">
      <c r="A339">
        <v>4722</v>
      </c>
      <c r="B339" t="s">
        <v>2002</v>
      </c>
      <c r="C339" s="1">
        <v>41826</v>
      </c>
      <c r="D339" s="1">
        <v>41949</v>
      </c>
      <c r="E339">
        <v>123</v>
      </c>
      <c r="F339" t="s">
        <v>2003</v>
      </c>
      <c r="G339" t="s">
        <v>2004</v>
      </c>
      <c r="H339" t="s">
        <v>29</v>
      </c>
      <c r="I339" t="s">
        <v>30</v>
      </c>
      <c r="J339" t="s">
        <v>31</v>
      </c>
      <c r="K339" t="s">
        <v>234</v>
      </c>
      <c r="L339" t="s">
        <v>2005</v>
      </c>
      <c r="M339" t="s">
        <v>61</v>
      </c>
      <c r="N339" t="s">
        <v>2006</v>
      </c>
      <c r="O339" t="s">
        <v>2007</v>
      </c>
      <c r="P339" t="s">
        <v>37</v>
      </c>
      <c r="Q339" t="s">
        <v>160</v>
      </c>
      <c r="R339" t="s">
        <v>2008</v>
      </c>
      <c r="S339">
        <v>268.935</v>
      </c>
      <c r="T339">
        <v>-209.76929999999999</v>
      </c>
      <c r="U339">
        <v>-0.77999999999999992</v>
      </c>
      <c r="V339">
        <v>3</v>
      </c>
      <c r="W339">
        <v>0.5</v>
      </c>
      <c r="X339">
        <v>2014</v>
      </c>
      <c r="Y339">
        <v>7</v>
      </c>
      <c r="Z339" t="s">
        <v>217</v>
      </c>
    </row>
    <row r="340" spans="1:26" x14ac:dyDescent="0.35">
      <c r="A340">
        <v>4735</v>
      </c>
      <c r="B340" t="s">
        <v>2009</v>
      </c>
      <c r="C340" s="1">
        <v>42555</v>
      </c>
      <c r="D340" s="1">
        <v>42708</v>
      </c>
      <c r="E340">
        <v>153</v>
      </c>
      <c r="F340" t="s">
        <v>291</v>
      </c>
      <c r="G340" t="s">
        <v>292</v>
      </c>
      <c r="H340" t="s">
        <v>57</v>
      </c>
      <c r="I340" t="s">
        <v>44</v>
      </c>
      <c r="J340" t="s">
        <v>31</v>
      </c>
      <c r="K340" t="s">
        <v>124</v>
      </c>
      <c r="L340" t="s">
        <v>125</v>
      </c>
      <c r="M340" t="s">
        <v>126</v>
      </c>
      <c r="N340" t="s">
        <v>667</v>
      </c>
      <c r="O340" t="s">
        <v>2010</v>
      </c>
      <c r="P340" t="s">
        <v>37</v>
      </c>
      <c r="Q340" t="s">
        <v>320</v>
      </c>
      <c r="R340" t="s">
        <v>2011</v>
      </c>
      <c r="S340">
        <v>658.74599999999998</v>
      </c>
      <c r="T340">
        <v>146.38800000000001</v>
      </c>
      <c r="U340">
        <v>0.22222222222222224</v>
      </c>
      <c r="V340">
        <v>3</v>
      </c>
      <c r="W340">
        <v>0.1</v>
      </c>
      <c r="X340">
        <v>2016</v>
      </c>
      <c r="Y340">
        <v>7</v>
      </c>
      <c r="Z340" t="s">
        <v>217</v>
      </c>
    </row>
    <row r="341" spans="1:26" x14ac:dyDescent="0.35">
      <c r="A341">
        <v>4769</v>
      </c>
      <c r="B341" t="s">
        <v>2012</v>
      </c>
      <c r="C341" s="1">
        <v>42772</v>
      </c>
      <c r="D341" s="1">
        <v>42800</v>
      </c>
      <c r="E341">
        <v>28</v>
      </c>
      <c r="F341" t="s">
        <v>2013</v>
      </c>
      <c r="G341" t="s">
        <v>2014</v>
      </c>
      <c r="H341" t="s">
        <v>29</v>
      </c>
      <c r="I341" t="s">
        <v>543</v>
      </c>
      <c r="J341" t="s">
        <v>31</v>
      </c>
      <c r="K341" t="s">
        <v>97</v>
      </c>
      <c r="L341" t="s">
        <v>471</v>
      </c>
      <c r="M341" t="s">
        <v>34</v>
      </c>
      <c r="N341" t="s">
        <v>960</v>
      </c>
      <c r="O341" t="s">
        <v>2015</v>
      </c>
      <c r="P341" t="s">
        <v>50</v>
      </c>
      <c r="Q341" t="s">
        <v>83</v>
      </c>
      <c r="R341" t="s">
        <v>2016</v>
      </c>
      <c r="S341">
        <v>25.344000000000001</v>
      </c>
      <c r="T341">
        <v>9.1872000000000007</v>
      </c>
      <c r="U341">
        <v>0.36249999999999999</v>
      </c>
      <c r="V341">
        <v>4</v>
      </c>
      <c r="W341">
        <v>0.2</v>
      </c>
      <c r="X341">
        <v>2017</v>
      </c>
      <c r="Y341">
        <v>2</v>
      </c>
      <c r="Z341" t="s">
        <v>162</v>
      </c>
    </row>
    <row r="342" spans="1:26" x14ac:dyDescent="0.35">
      <c r="A342">
        <v>4821</v>
      </c>
      <c r="B342" t="s">
        <v>2017</v>
      </c>
      <c r="C342" s="1">
        <v>42189</v>
      </c>
      <c r="D342" s="1">
        <v>42312</v>
      </c>
      <c r="E342">
        <v>123</v>
      </c>
      <c r="F342" t="s">
        <v>2018</v>
      </c>
      <c r="G342" t="s">
        <v>2019</v>
      </c>
      <c r="H342" t="s">
        <v>29</v>
      </c>
      <c r="I342" t="s">
        <v>44</v>
      </c>
      <c r="J342" t="s">
        <v>31</v>
      </c>
      <c r="K342" t="s">
        <v>59</v>
      </c>
      <c r="L342" t="s">
        <v>221</v>
      </c>
      <c r="M342" t="s">
        <v>61</v>
      </c>
      <c r="N342" t="s">
        <v>222</v>
      </c>
      <c r="O342" t="s">
        <v>2020</v>
      </c>
      <c r="P342" t="s">
        <v>50</v>
      </c>
      <c r="Q342" t="s">
        <v>138</v>
      </c>
      <c r="R342" t="s">
        <v>2021</v>
      </c>
      <c r="S342">
        <v>463.24799999999999</v>
      </c>
      <c r="T342">
        <v>-1181.2824000000001</v>
      </c>
      <c r="U342">
        <v>-2.5500000000000003</v>
      </c>
      <c r="V342">
        <v>8</v>
      </c>
      <c r="W342">
        <v>0.8</v>
      </c>
      <c r="X342">
        <v>2015</v>
      </c>
      <c r="Y342">
        <v>7</v>
      </c>
      <c r="Z342" t="s">
        <v>217</v>
      </c>
    </row>
    <row r="343" spans="1:26" x14ac:dyDescent="0.35">
      <c r="A343">
        <v>4838</v>
      </c>
      <c r="B343" t="s">
        <v>2022</v>
      </c>
      <c r="C343" s="1">
        <v>42741</v>
      </c>
      <c r="D343" s="1">
        <v>42800</v>
      </c>
      <c r="E343">
        <v>59</v>
      </c>
      <c r="F343" t="s">
        <v>2023</v>
      </c>
      <c r="G343" t="s">
        <v>2024</v>
      </c>
      <c r="H343" t="s">
        <v>29</v>
      </c>
      <c r="I343" t="s">
        <v>58</v>
      </c>
      <c r="J343" t="s">
        <v>31</v>
      </c>
      <c r="K343" t="s">
        <v>181</v>
      </c>
      <c r="L343" t="s">
        <v>2025</v>
      </c>
      <c r="M343" t="s">
        <v>126</v>
      </c>
      <c r="N343" t="s">
        <v>2026</v>
      </c>
      <c r="O343" t="s">
        <v>2027</v>
      </c>
      <c r="P343" t="s">
        <v>50</v>
      </c>
      <c r="Q343" t="s">
        <v>51</v>
      </c>
      <c r="R343" t="s">
        <v>2028</v>
      </c>
      <c r="S343">
        <v>3.798</v>
      </c>
      <c r="T343">
        <v>-2.6585999999999999</v>
      </c>
      <c r="U343">
        <v>-0.7</v>
      </c>
      <c r="V343">
        <v>2</v>
      </c>
      <c r="W343">
        <v>0.7</v>
      </c>
      <c r="X343">
        <v>2017</v>
      </c>
      <c r="Y343">
        <v>1</v>
      </c>
      <c r="Z343" t="s">
        <v>147</v>
      </c>
    </row>
    <row r="344" spans="1:26" x14ac:dyDescent="0.35">
      <c r="A344">
        <v>4876</v>
      </c>
      <c r="B344" t="s">
        <v>2029</v>
      </c>
      <c r="C344" s="1">
        <v>41682</v>
      </c>
      <c r="D344" s="1">
        <v>41832</v>
      </c>
      <c r="E344">
        <v>150</v>
      </c>
      <c r="F344" t="s">
        <v>2030</v>
      </c>
      <c r="G344" t="s">
        <v>2031</v>
      </c>
      <c r="H344" t="s">
        <v>57</v>
      </c>
      <c r="I344" t="s">
        <v>44</v>
      </c>
      <c r="J344" t="s">
        <v>31</v>
      </c>
      <c r="K344" t="s">
        <v>181</v>
      </c>
      <c r="L344" t="s">
        <v>182</v>
      </c>
      <c r="M344" t="s">
        <v>126</v>
      </c>
      <c r="N344" t="s">
        <v>183</v>
      </c>
      <c r="O344" t="s">
        <v>2032</v>
      </c>
      <c r="P344" t="s">
        <v>64</v>
      </c>
      <c r="Q344" t="s">
        <v>288</v>
      </c>
      <c r="R344" t="s">
        <v>2033</v>
      </c>
      <c r="S344">
        <v>119.8</v>
      </c>
      <c r="T344">
        <v>29.95</v>
      </c>
      <c r="U344">
        <v>0.25</v>
      </c>
      <c r="V344">
        <v>5</v>
      </c>
      <c r="W344">
        <v>0.2</v>
      </c>
      <c r="X344">
        <v>2014</v>
      </c>
      <c r="Y344">
        <v>2</v>
      </c>
      <c r="Z344" t="s">
        <v>162</v>
      </c>
    </row>
    <row r="345" spans="1:26" x14ac:dyDescent="0.35">
      <c r="A345">
        <v>4880</v>
      </c>
      <c r="B345" t="s">
        <v>2034</v>
      </c>
      <c r="C345" s="1">
        <v>42777</v>
      </c>
      <c r="D345" s="1">
        <v>42866</v>
      </c>
      <c r="E345">
        <v>89</v>
      </c>
      <c r="F345" t="s">
        <v>2035</v>
      </c>
      <c r="G345" t="s">
        <v>2036</v>
      </c>
      <c r="H345" t="s">
        <v>57</v>
      </c>
      <c r="I345" t="s">
        <v>30</v>
      </c>
      <c r="J345" t="s">
        <v>31</v>
      </c>
      <c r="K345" t="s">
        <v>32</v>
      </c>
      <c r="L345" t="s">
        <v>33</v>
      </c>
      <c r="M345" t="s">
        <v>34</v>
      </c>
      <c r="N345" t="s">
        <v>35</v>
      </c>
      <c r="O345" t="s">
        <v>2037</v>
      </c>
      <c r="P345" t="s">
        <v>50</v>
      </c>
      <c r="Q345" t="s">
        <v>101</v>
      </c>
      <c r="R345" t="s">
        <v>2038</v>
      </c>
      <c r="S345">
        <v>5.32</v>
      </c>
      <c r="T345">
        <v>2.6067999999999998</v>
      </c>
      <c r="U345">
        <v>0.48999999999999994</v>
      </c>
      <c r="V345">
        <v>2</v>
      </c>
      <c r="W345">
        <v>0</v>
      </c>
      <c r="X345">
        <v>2017</v>
      </c>
      <c r="Y345">
        <v>2</v>
      </c>
      <c r="Z345" t="s">
        <v>162</v>
      </c>
    </row>
    <row r="346" spans="1:26" x14ac:dyDescent="0.35">
      <c r="A346">
        <v>4953</v>
      </c>
      <c r="B346" t="s">
        <v>2039</v>
      </c>
      <c r="C346" s="1">
        <v>42959</v>
      </c>
      <c r="D346" s="1">
        <v>43081</v>
      </c>
      <c r="E346">
        <v>122</v>
      </c>
      <c r="F346" t="s">
        <v>303</v>
      </c>
      <c r="G346" t="s">
        <v>304</v>
      </c>
      <c r="H346" t="s">
        <v>57</v>
      </c>
      <c r="I346" t="s">
        <v>30</v>
      </c>
      <c r="J346" t="s">
        <v>31</v>
      </c>
      <c r="K346" t="s">
        <v>205</v>
      </c>
      <c r="L346" t="s">
        <v>371</v>
      </c>
      <c r="M346" t="s">
        <v>47</v>
      </c>
      <c r="N346" t="s">
        <v>921</v>
      </c>
      <c r="O346" t="s">
        <v>2040</v>
      </c>
      <c r="P346" t="s">
        <v>50</v>
      </c>
      <c r="Q346" t="s">
        <v>138</v>
      </c>
      <c r="R346" t="s">
        <v>2041</v>
      </c>
      <c r="S346">
        <v>69.48</v>
      </c>
      <c r="T346">
        <v>20.844000000000001</v>
      </c>
      <c r="U346">
        <v>0.3</v>
      </c>
      <c r="V346">
        <v>1</v>
      </c>
      <c r="W346">
        <v>0</v>
      </c>
      <c r="X346">
        <v>2017</v>
      </c>
      <c r="Y346">
        <v>8</v>
      </c>
      <c r="Z346" t="s">
        <v>40</v>
      </c>
    </row>
    <row r="347" spans="1:26" x14ac:dyDescent="0.35">
      <c r="A347">
        <v>4986</v>
      </c>
      <c r="B347" t="s">
        <v>2042</v>
      </c>
      <c r="C347" s="1">
        <v>41707</v>
      </c>
      <c r="D347" s="1">
        <v>41707</v>
      </c>
      <c r="E347">
        <v>0</v>
      </c>
      <c r="F347" t="s">
        <v>2043</v>
      </c>
      <c r="G347" t="s">
        <v>2044</v>
      </c>
      <c r="H347" t="s">
        <v>29</v>
      </c>
      <c r="I347" t="s">
        <v>543</v>
      </c>
      <c r="J347" t="s">
        <v>31</v>
      </c>
      <c r="K347" t="s">
        <v>124</v>
      </c>
      <c r="L347" t="s">
        <v>125</v>
      </c>
      <c r="M347" t="s">
        <v>126</v>
      </c>
      <c r="N347" t="s">
        <v>127</v>
      </c>
      <c r="O347" t="s">
        <v>2045</v>
      </c>
      <c r="P347" t="s">
        <v>50</v>
      </c>
      <c r="Q347" t="s">
        <v>267</v>
      </c>
      <c r="R347" t="s">
        <v>2046</v>
      </c>
      <c r="S347">
        <v>14.4</v>
      </c>
      <c r="T347">
        <v>7.056</v>
      </c>
      <c r="U347">
        <v>0.49</v>
      </c>
      <c r="V347">
        <v>5</v>
      </c>
      <c r="W347">
        <v>0</v>
      </c>
      <c r="X347">
        <v>2014</v>
      </c>
      <c r="Y347">
        <v>3</v>
      </c>
      <c r="Z347" t="s">
        <v>103</v>
      </c>
    </row>
    <row r="348" spans="1:26" x14ac:dyDescent="0.35">
      <c r="A348">
        <v>5001</v>
      </c>
      <c r="B348" t="s">
        <v>2047</v>
      </c>
      <c r="C348" s="1">
        <v>42921</v>
      </c>
      <c r="D348" s="1">
        <v>43074</v>
      </c>
      <c r="E348">
        <v>153</v>
      </c>
      <c r="F348" t="s">
        <v>2048</v>
      </c>
      <c r="G348" t="s">
        <v>2049</v>
      </c>
      <c r="H348" t="s">
        <v>107</v>
      </c>
      <c r="I348" t="s">
        <v>44</v>
      </c>
      <c r="J348" t="s">
        <v>31</v>
      </c>
      <c r="K348" t="s">
        <v>205</v>
      </c>
      <c r="L348" t="s">
        <v>206</v>
      </c>
      <c r="M348" t="s">
        <v>47</v>
      </c>
      <c r="N348" t="s">
        <v>228</v>
      </c>
      <c r="O348" t="s">
        <v>2050</v>
      </c>
      <c r="P348" t="s">
        <v>64</v>
      </c>
      <c r="Q348" t="s">
        <v>288</v>
      </c>
      <c r="R348" t="s">
        <v>2051</v>
      </c>
      <c r="S348">
        <v>79.989999999999995</v>
      </c>
      <c r="T348">
        <v>28.796399999999998</v>
      </c>
      <c r="U348">
        <v>0.36</v>
      </c>
      <c r="V348">
        <v>1</v>
      </c>
      <c r="W348">
        <v>0</v>
      </c>
      <c r="X348">
        <v>2017</v>
      </c>
      <c r="Y348">
        <v>7</v>
      </c>
      <c r="Z348" t="s">
        <v>217</v>
      </c>
    </row>
    <row r="349" spans="1:26" x14ac:dyDescent="0.35">
      <c r="A349">
        <v>5004</v>
      </c>
      <c r="B349" t="s">
        <v>2052</v>
      </c>
      <c r="C349" s="1">
        <v>42561</v>
      </c>
      <c r="D349" s="1">
        <v>42714</v>
      </c>
      <c r="E349">
        <v>153</v>
      </c>
      <c r="F349" t="s">
        <v>2053</v>
      </c>
      <c r="G349" t="s">
        <v>2054</v>
      </c>
      <c r="H349" t="s">
        <v>29</v>
      </c>
      <c r="I349" t="s">
        <v>44</v>
      </c>
      <c r="J349" t="s">
        <v>31</v>
      </c>
      <c r="K349" t="s">
        <v>205</v>
      </c>
      <c r="L349" t="s">
        <v>206</v>
      </c>
      <c r="M349" t="s">
        <v>47</v>
      </c>
      <c r="N349" t="s">
        <v>442</v>
      </c>
      <c r="O349" t="s">
        <v>2055</v>
      </c>
      <c r="P349" t="s">
        <v>50</v>
      </c>
      <c r="Q349" t="s">
        <v>83</v>
      </c>
      <c r="R349" t="s">
        <v>2056</v>
      </c>
      <c r="S349">
        <v>10.56</v>
      </c>
      <c r="T349">
        <v>5.0688000000000004</v>
      </c>
      <c r="U349">
        <v>0.48000000000000004</v>
      </c>
      <c r="V349">
        <v>2</v>
      </c>
      <c r="W349">
        <v>0</v>
      </c>
      <c r="X349">
        <v>2016</v>
      </c>
      <c r="Y349">
        <v>7</v>
      </c>
      <c r="Z349" t="s">
        <v>217</v>
      </c>
    </row>
    <row r="350" spans="1:26" x14ac:dyDescent="0.35">
      <c r="A350">
        <v>5052</v>
      </c>
      <c r="B350" t="s">
        <v>2057</v>
      </c>
      <c r="C350" s="1">
        <v>42196</v>
      </c>
      <c r="D350" s="1">
        <v>42319</v>
      </c>
      <c r="E350">
        <v>123</v>
      </c>
      <c r="F350" t="s">
        <v>434</v>
      </c>
      <c r="G350" t="s">
        <v>435</v>
      </c>
      <c r="H350" t="s">
        <v>57</v>
      </c>
      <c r="I350" t="s">
        <v>44</v>
      </c>
      <c r="J350" t="s">
        <v>31</v>
      </c>
      <c r="K350" t="s">
        <v>189</v>
      </c>
      <c r="L350" t="s">
        <v>190</v>
      </c>
      <c r="M350" t="s">
        <v>126</v>
      </c>
      <c r="N350" t="s">
        <v>191</v>
      </c>
      <c r="O350" t="s">
        <v>2058</v>
      </c>
      <c r="P350" t="s">
        <v>50</v>
      </c>
      <c r="Q350" t="s">
        <v>101</v>
      </c>
      <c r="R350" t="s">
        <v>2059</v>
      </c>
      <c r="S350">
        <v>24.4</v>
      </c>
      <c r="T350">
        <v>7.93</v>
      </c>
      <c r="U350">
        <v>0.32500000000000001</v>
      </c>
      <c r="V350">
        <v>2</v>
      </c>
      <c r="W350">
        <v>0.2</v>
      </c>
      <c r="X350">
        <v>2015</v>
      </c>
      <c r="Y350">
        <v>7</v>
      </c>
      <c r="Z350" t="s">
        <v>217</v>
      </c>
    </row>
    <row r="351" spans="1:26" x14ac:dyDescent="0.35">
      <c r="A351">
        <v>5057</v>
      </c>
      <c r="B351" t="s">
        <v>2060</v>
      </c>
      <c r="C351" s="1">
        <v>42225</v>
      </c>
      <c r="D351" s="1">
        <v>42317</v>
      </c>
      <c r="E351">
        <v>92</v>
      </c>
      <c r="F351" t="s">
        <v>1047</v>
      </c>
      <c r="G351" t="s">
        <v>1048</v>
      </c>
      <c r="H351" t="s">
        <v>29</v>
      </c>
      <c r="I351" t="s">
        <v>58</v>
      </c>
      <c r="J351" t="s">
        <v>31</v>
      </c>
      <c r="K351" t="s">
        <v>205</v>
      </c>
      <c r="L351" t="s">
        <v>2061</v>
      </c>
      <c r="M351" t="s">
        <v>47</v>
      </c>
      <c r="N351" t="s">
        <v>2062</v>
      </c>
      <c r="O351" t="s">
        <v>2063</v>
      </c>
      <c r="P351" t="s">
        <v>50</v>
      </c>
      <c r="Q351" t="s">
        <v>83</v>
      </c>
      <c r="R351" t="s">
        <v>2064</v>
      </c>
      <c r="S351">
        <v>26.4</v>
      </c>
      <c r="T351">
        <v>11.88</v>
      </c>
      <c r="U351">
        <v>0.45000000000000007</v>
      </c>
      <c r="V351">
        <v>5</v>
      </c>
      <c r="W351">
        <v>0</v>
      </c>
      <c r="X351">
        <v>2015</v>
      </c>
      <c r="Y351">
        <v>8</v>
      </c>
      <c r="Z351" t="s">
        <v>40</v>
      </c>
    </row>
    <row r="352" spans="1:26" x14ac:dyDescent="0.35">
      <c r="A352">
        <v>5087</v>
      </c>
      <c r="B352" t="s">
        <v>2065</v>
      </c>
      <c r="C352" s="1">
        <v>42127</v>
      </c>
      <c r="D352" s="1">
        <v>42250</v>
      </c>
      <c r="E352">
        <v>123</v>
      </c>
      <c r="F352" t="s">
        <v>2030</v>
      </c>
      <c r="G352" t="s">
        <v>2031</v>
      </c>
      <c r="H352" t="s">
        <v>57</v>
      </c>
      <c r="I352" t="s">
        <v>44</v>
      </c>
      <c r="J352" t="s">
        <v>31</v>
      </c>
      <c r="K352" t="s">
        <v>189</v>
      </c>
      <c r="L352" t="s">
        <v>190</v>
      </c>
      <c r="M352" t="s">
        <v>126</v>
      </c>
      <c r="N352" t="s">
        <v>1441</v>
      </c>
      <c r="O352" t="s">
        <v>2066</v>
      </c>
      <c r="P352" t="s">
        <v>64</v>
      </c>
      <c r="Q352" t="s">
        <v>65</v>
      </c>
      <c r="R352" t="s">
        <v>2067</v>
      </c>
      <c r="S352">
        <v>466.15800000000002</v>
      </c>
      <c r="T352">
        <v>-93.2316</v>
      </c>
      <c r="U352">
        <v>-0.19999999999999998</v>
      </c>
      <c r="V352">
        <v>7</v>
      </c>
      <c r="W352">
        <v>0.4</v>
      </c>
      <c r="X352">
        <v>2015</v>
      </c>
      <c r="Y352">
        <v>5</v>
      </c>
      <c r="Z352" t="s">
        <v>53</v>
      </c>
    </row>
    <row r="353" spans="1:26" x14ac:dyDescent="0.35">
      <c r="A353">
        <v>5090</v>
      </c>
      <c r="B353" t="s">
        <v>2068</v>
      </c>
      <c r="C353" s="1">
        <v>42833</v>
      </c>
      <c r="D353" s="1">
        <v>42924</v>
      </c>
      <c r="E353">
        <v>91</v>
      </c>
      <c r="F353" t="s">
        <v>2069</v>
      </c>
      <c r="G353" t="s">
        <v>2070</v>
      </c>
      <c r="H353" t="s">
        <v>57</v>
      </c>
      <c r="I353" t="s">
        <v>58</v>
      </c>
      <c r="J353" t="s">
        <v>31</v>
      </c>
      <c r="K353" t="s">
        <v>242</v>
      </c>
      <c r="L353" t="s">
        <v>2071</v>
      </c>
      <c r="M353" t="s">
        <v>47</v>
      </c>
      <c r="N353" t="s">
        <v>2072</v>
      </c>
      <c r="O353" t="s">
        <v>2073</v>
      </c>
      <c r="P353" t="s">
        <v>50</v>
      </c>
      <c r="Q353" t="s">
        <v>83</v>
      </c>
      <c r="R353" t="s">
        <v>2074</v>
      </c>
      <c r="S353">
        <v>7.968</v>
      </c>
      <c r="T353">
        <v>2.8883999999999999</v>
      </c>
      <c r="U353">
        <v>0.36249999999999999</v>
      </c>
      <c r="V353">
        <v>2</v>
      </c>
      <c r="W353">
        <v>0.2</v>
      </c>
      <c r="X353">
        <v>2017</v>
      </c>
      <c r="Y353">
        <v>4</v>
      </c>
      <c r="Z353" t="s">
        <v>85</v>
      </c>
    </row>
    <row r="354" spans="1:26" x14ac:dyDescent="0.35">
      <c r="A354">
        <v>5141</v>
      </c>
      <c r="B354" t="s">
        <v>2075</v>
      </c>
      <c r="C354" s="1">
        <v>42227</v>
      </c>
      <c r="D354" s="1">
        <v>42349</v>
      </c>
      <c r="E354">
        <v>122</v>
      </c>
      <c r="F354" t="s">
        <v>1133</v>
      </c>
      <c r="G354" t="s">
        <v>1134</v>
      </c>
      <c r="H354" t="s">
        <v>29</v>
      </c>
      <c r="I354" t="s">
        <v>44</v>
      </c>
      <c r="J354" t="s">
        <v>31</v>
      </c>
      <c r="K354" t="s">
        <v>205</v>
      </c>
      <c r="L354" t="s">
        <v>371</v>
      </c>
      <c r="M354" t="s">
        <v>47</v>
      </c>
      <c r="N354" t="s">
        <v>921</v>
      </c>
      <c r="O354" t="s">
        <v>2076</v>
      </c>
      <c r="P354" t="s">
        <v>64</v>
      </c>
      <c r="Q354" t="s">
        <v>288</v>
      </c>
      <c r="R354" t="s">
        <v>2077</v>
      </c>
      <c r="S354">
        <v>119.9</v>
      </c>
      <c r="T354">
        <v>43.164000000000001</v>
      </c>
      <c r="U354">
        <v>0.36</v>
      </c>
      <c r="V354">
        <v>2</v>
      </c>
      <c r="W354">
        <v>0</v>
      </c>
      <c r="X354">
        <v>2015</v>
      </c>
      <c r="Y354">
        <v>8</v>
      </c>
      <c r="Z354" t="s">
        <v>40</v>
      </c>
    </row>
    <row r="355" spans="1:26" x14ac:dyDescent="0.35">
      <c r="A355">
        <v>5192</v>
      </c>
      <c r="B355" t="s">
        <v>2078</v>
      </c>
      <c r="C355" s="1">
        <v>42860</v>
      </c>
      <c r="D355" s="1">
        <v>42983</v>
      </c>
      <c r="E355">
        <v>123</v>
      </c>
      <c r="F355" t="s">
        <v>457</v>
      </c>
      <c r="G355" t="s">
        <v>458</v>
      </c>
      <c r="H355" t="s">
        <v>29</v>
      </c>
      <c r="I355" t="s">
        <v>44</v>
      </c>
      <c r="J355" t="s">
        <v>31</v>
      </c>
      <c r="K355" t="s">
        <v>205</v>
      </c>
      <c r="L355" t="s">
        <v>371</v>
      </c>
      <c r="M355" t="s">
        <v>47</v>
      </c>
      <c r="N355" t="s">
        <v>691</v>
      </c>
      <c r="O355" t="s">
        <v>2079</v>
      </c>
      <c r="P355" t="s">
        <v>50</v>
      </c>
      <c r="Q355" t="s">
        <v>101</v>
      </c>
      <c r="R355" t="s">
        <v>2080</v>
      </c>
      <c r="S355">
        <v>23.16</v>
      </c>
      <c r="T355">
        <v>11.58</v>
      </c>
      <c r="U355">
        <v>0.5</v>
      </c>
      <c r="V355">
        <v>2</v>
      </c>
      <c r="W355">
        <v>0</v>
      </c>
      <c r="X355">
        <v>2017</v>
      </c>
      <c r="Y355">
        <v>5</v>
      </c>
      <c r="Z355" t="s">
        <v>53</v>
      </c>
    </row>
    <row r="356" spans="1:26" x14ac:dyDescent="0.35">
      <c r="A356">
        <v>5199</v>
      </c>
      <c r="B356" t="s">
        <v>2081</v>
      </c>
      <c r="C356" s="1">
        <v>42432</v>
      </c>
      <c r="D356" s="1">
        <v>42585</v>
      </c>
      <c r="E356">
        <v>153</v>
      </c>
      <c r="F356" t="s">
        <v>919</v>
      </c>
      <c r="G356" t="s">
        <v>920</v>
      </c>
      <c r="H356" t="s">
        <v>29</v>
      </c>
      <c r="I356" t="s">
        <v>44</v>
      </c>
      <c r="J356" t="s">
        <v>31</v>
      </c>
      <c r="K356" t="s">
        <v>59</v>
      </c>
      <c r="L356" t="s">
        <v>2082</v>
      </c>
      <c r="M356" t="s">
        <v>61</v>
      </c>
      <c r="N356" t="s">
        <v>2083</v>
      </c>
      <c r="O356" t="s">
        <v>2084</v>
      </c>
      <c r="P356" t="s">
        <v>50</v>
      </c>
      <c r="Q356" t="s">
        <v>531</v>
      </c>
      <c r="R356" t="s">
        <v>2085</v>
      </c>
      <c r="S356">
        <v>3930.0720000000001</v>
      </c>
      <c r="T356">
        <v>-786.01440000000002</v>
      </c>
      <c r="U356">
        <v>-0.2</v>
      </c>
      <c r="V356">
        <v>3</v>
      </c>
      <c r="W356">
        <v>0.2</v>
      </c>
      <c r="X356">
        <v>2016</v>
      </c>
      <c r="Y356">
        <v>3</v>
      </c>
      <c r="Z356" t="s">
        <v>103</v>
      </c>
    </row>
    <row r="357" spans="1:26" x14ac:dyDescent="0.35">
      <c r="A357">
        <v>5245</v>
      </c>
      <c r="B357" t="s">
        <v>2086</v>
      </c>
      <c r="C357" s="1">
        <v>42408</v>
      </c>
      <c r="D357" s="1">
        <v>42468</v>
      </c>
      <c r="E357">
        <v>60</v>
      </c>
      <c r="F357" t="s">
        <v>2087</v>
      </c>
      <c r="G357" t="s">
        <v>2088</v>
      </c>
      <c r="H357" t="s">
        <v>57</v>
      </c>
      <c r="I357" t="s">
        <v>30</v>
      </c>
      <c r="J357" t="s">
        <v>31</v>
      </c>
      <c r="K357" t="s">
        <v>205</v>
      </c>
      <c r="L357" t="s">
        <v>206</v>
      </c>
      <c r="M357" t="s">
        <v>47</v>
      </c>
      <c r="N357" t="s">
        <v>442</v>
      </c>
      <c r="O357" t="s">
        <v>2089</v>
      </c>
      <c r="P357" t="s">
        <v>37</v>
      </c>
      <c r="Q357" t="s">
        <v>160</v>
      </c>
      <c r="R357" t="s">
        <v>2090</v>
      </c>
      <c r="S357">
        <v>136.464</v>
      </c>
      <c r="T357">
        <v>15.3522</v>
      </c>
      <c r="U357">
        <v>0.1125</v>
      </c>
      <c r="V357">
        <v>2</v>
      </c>
      <c r="W357">
        <v>0.2</v>
      </c>
      <c r="X357">
        <v>2016</v>
      </c>
      <c r="Y357">
        <v>2</v>
      </c>
      <c r="Z357" t="s">
        <v>162</v>
      </c>
    </row>
    <row r="358" spans="1:26" x14ac:dyDescent="0.35">
      <c r="A358">
        <v>5270</v>
      </c>
      <c r="B358" t="s">
        <v>2091</v>
      </c>
      <c r="C358" s="1">
        <v>43048</v>
      </c>
      <c r="D358" s="1">
        <v>43048</v>
      </c>
      <c r="E358">
        <v>0</v>
      </c>
      <c r="F358" t="s">
        <v>2092</v>
      </c>
      <c r="G358" t="s">
        <v>2093</v>
      </c>
      <c r="H358" t="s">
        <v>29</v>
      </c>
      <c r="I358" t="s">
        <v>543</v>
      </c>
      <c r="J358" t="s">
        <v>31</v>
      </c>
      <c r="K358" t="s">
        <v>205</v>
      </c>
      <c r="L358" t="s">
        <v>371</v>
      </c>
      <c r="M358" t="s">
        <v>47</v>
      </c>
      <c r="N358" t="s">
        <v>372</v>
      </c>
      <c r="O358" t="s">
        <v>2094</v>
      </c>
      <c r="P358" t="s">
        <v>37</v>
      </c>
      <c r="Q358" t="s">
        <v>129</v>
      </c>
      <c r="R358" t="s">
        <v>2095</v>
      </c>
      <c r="S358">
        <v>32.36</v>
      </c>
      <c r="T358">
        <v>11.6496</v>
      </c>
      <c r="U358">
        <v>0.36</v>
      </c>
      <c r="V358">
        <v>4</v>
      </c>
      <c r="W358">
        <v>0</v>
      </c>
      <c r="X358">
        <v>2017</v>
      </c>
      <c r="Y358">
        <v>11</v>
      </c>
      <c r="Z358" t="s">
        <v>210</v>
      </c>
    </row>
    <row r="359" spans="1:26" x14ac:dyDescent="0.35">
      <c r="A359">
        <v>5280</v>
      </c>
      <c r="B359" t="s">
        <v>2096</v>
      </c>
      <c r="C359" s="1">
        <v>42925</v>
      </c>
      <c r="D359" s="1">
        <v>43048</v>
      </c>
      <c r="E359">
        <v>123</v>
      </c>
      <c r="F359" t="s">
        <v>363</v>
      </c>
      <c r="G359" t="s">
        <v>364</v>
      </c>
      <c r="H359" t="s">
        <v>29</v>
      </c>
      <c r="I359" t="s">
        <v>44</v>
      </c>
      <c r="J359" t="s">
        <v>31</v>
      </c>
      <c r="K359" t="s">
        <v>197</v>
      </c>
      <c r="L359" t="s">
        <v>859</v>
      </c>
      <c r="M359" t="s">
        <v>61</v>
      </c>
      <c r="N359" t="s">
        <v>860</v>
      </c>
      <c r="O359" t="s">
        <v>2097</v>
      </c>
      <c r="P359" t="s">
        <v>64</v>
      </c>
      <c r="Q359" t="s">
        <v>288</v>
      </c>
      <c r="R359" t="s">
        <v>2098</v>
      </c>
      <c r="S359">
        <v>13.48</v>
      </c>
      <c r="T359">
        <v>1.8872</v>
      </c>
      <c r="U359">
        <v>0.13999999999999999</v>
      </c>
      <c r="V359">
        <v>1</v>
      </c>
      <c r="W359">
        <v>0</v>
      </c>
      <c r="X359">
        <v>2017</v>
      </c>
      <c r="Y359">
        <v>7</v>
      </c>
      <c r="Z359" t="s">
        <v>217</v>
      </c>
    </row>
    <row r="360" spans="1:26" x14ac:dyDescent="0.35">
      <c r="A360">
        <v>5282</v>
      </c>
      <c r="B360" t="s">
        <v>2099</v>
      </c>
      <c r="C360" s="1">
        <v>42133</v>
      </c>
      <c r="D360" s="1">
        <v>42286</v>
      </c>
      <c r="E360">
        <v>153</v>
      </c>
      <c r="F360" t="s">
        <v>387</v>
      </c>
      <c r="G360" t="s">
        <v>388</v>
      </c>
      <c r="H360" t="s">
        <v>57</v>
      </c>
      <c r="I360" t="s">
        <v>44</v>
      </c>
      <c r="J360" t="s">
        <v>31</v>
      </c>
      <c r="K360" t="s">
        <v>134</v>
      </c>
      <c r="L360" t="s">
        <v>143</v>
      </c>
      <c r="M360" t="s">
        <v>61</v>
      </c>
      <c r="N360" t="s">
        <v>144</v>
      </c>
      <c r="O360" t="s">
        <v>2100</v>
      </c>
      <c r="P360" t="s">
        <v>37</v>
      </c>
      <c r="Q360" t="s">
        <v>129</v>
      </c>
      <c r="R360" t="s">
        <v>2101</v>
      </c>
      <c r="S360">
        <v>6.16</v>
      </c>
      <c r="T360">
        <v>2.9567999999999999</v>
      </c>
      <c r="U360">
        <v>0.48</v>
      </c>
      <c r="V360">
        <v>2</v>
      </c>
      <c r="W360">
        <v>0</v>
      </c>
      <c r="X360">
        <v>2015</v>
      </c>
      <c r="Y360">
        <v>5</v>
      </c>
      <c r="Z360" t="s">
        <v>53</v>
      </c>
    </row>
    <row r="361" spans="1:26" x14ac:dyDescent="0.35">
      <c r="A361">
        <v>5325</v>
      </c>
      <c r="B361" t="s">
        <v>2102</v>
      </c>
      <c r="C361" s="1">
        <v>42106</v>
      </c>
      <c r="D361" s="1">
        <v>42259</v>
      </c>
      <c r="E361">
        <v>153</v>
      </c>
      <c r="F361" t="s">
        <v>2103</v>
      </c>
      <c r="G361" t="s">
        <v>2104</v>
      </c>
      <c r="H361" t="s">
        <v>29</v>
      </c>
      <c r="I361" t="s">
        <v>44</v>
      </c>
      <c r="J361" t="s">
        <v>31</v>
      </c>
      <c r="K361" t="s">
        <v>205</v>
      </c>
      <c r="L361" t="s">
        <v>312</v>
      </c>
      <c r="M361" t="s">
        <v>47</v>
      </c>
      <c r="N361" t="s">
        <v>2105</v>
      </c>
      <c r="O361" t="s">
        <v>2106</v>
      </c>
      <c r="P361" t="s">
        <v>50</v>
      </c>
      <c r="Q361" t="s">
        <v>74</v>
      </c>
      <c r="R361" t="s">
        <v>2107</v>
      </c>
      <c r="S361">
        <v>16.899999999999999</v>
      </c>
      <c r="T361">
        <v>6.2530000000000001</v>
      </c>
      <c r="U361">
        <v>0.37000000000000005</v>
      </c>
      <c r="V361">
        <v>5</v>
      </c>
      <c r="W361">
        <v>0</v>
      </c>
      <c r="X361">
        <v>2015</v>
      </c>
      <c r="Y361">
        <v>4</v>
      </c>
      <c r="Z361" t="s">
        <v>85</v>
      </c>
    </row>
    <row r="362" spans="1:26" x14ac:dyDescent="0.35">
      <c r="A362">
        <v>5352</v>
      </c>
      <c r="B362" t="s">
        <v>2108</v>
      </c>
      <c r="C362" s="1">
        <v>42530</v>
      </c>
      <c r="D362" s="1">
        <v>42713</v>
      </c>
      <c r="E362">
        <v>183</v>
      </c>
      <c r="F362" t="s">
        <v>611</v>
      </c>
      <c r="G362" t="s">
        <v>612</v>
      </c>
      <c r="H362" t="s">
        <v>57</v>
      </c>
      <c r="I362" t="s">
        <v>44</v>
      </c>
      <c r="J362" t="s">
        <v>31</v>
      </c>
      <c r="K362" t="s">
        <v>59</v>
      </c>
      <c r="L362" t="s">
        <v>528</v>
      </c>
      <c r="M362" t="s">
        <v>61</v>
      </c>
      <c r="N362" t="s">
        <v>2109</v>
      </c>
      <c r="O362" t="s">
        <v>2110</v>
      </c>
      <c r="P362" t="s">
        <v>50</v>
      </c>
      <c r="Q362" t="s">
        <v>83</v>
      </c>
      <c r="R362" t="s">
        <v>2111</v>
      </c>
      <c r="S362">
        <v>41.92</v>
      </c>
      <c r="T362">
        <v>15.196</v>
      </c>
      <c r="U362">
        <v>0.36249999999999999</v>
      </c>
      <c r="V362">
        <v>4</v>
      </c>
      <c r="W362">
        <v>0.2</v>
      </c>
      <c r="X362">
        <v>2016</v>
      </c>
      <c r="Y362">
        <v>6</v>
      </c>
      <c r="Z362" t="s">
        <v>120</v>
      </c>
    </row>
    <row r="363" spans="1:26" x14ac:dyDescent="0.35">
      <c r="A363">
        <v>5382</v>
      </c>
      <c r="B363" t="s">
        <v>2112</v>
      </c>
      <c r="C363" s="1">
        <v>42499</v>
      </c>
      <c r="D363" s="1">
        <v>42560</v>
      </c>
      <c r="E363">
        <v>61</v>
      </c>
      <c r="F363" t="s">
        <v>2113</v>
      </c>
      <c r="G363" t="s">
        <v>2114</v>
      </c>
      <c r="H363" t="s">
        <v>57</v>
      </c>
      <c r="I363" t="s">
        <v>30</v>
      </c>
      <c r="J363" t="s">
        <v>31</v>
      </c>
      <c r="K363" t="s">
        <v>59</v>
      </c>
      <c r="L363" t="s">
        <v>89</v>
      </c>
      <c r="M363" t="s">
        <v>61</v>
      </c>
      <c r="N363" t="s">
        <v>879</v>
      </c>
      <c r="O363" t="s">
        <v>2115</v>
      </c>
      <c r="P363" t="s">
        <v>50</v>
      </c>
      <c r="Q363" t="s">
        <v>83</v>
      </c>
      <c r="R363" t="s">
        <v>2116</v>
      </c>
      <c r="S363">
        <v>25.92</v>
      </c>
      <c r="T363">
        <v>9.0719999999999992</v>
      </c>
      <c r="U363">
        <v>0.34999999999999992</v>
      </c>
      <c r="V363">
        <v>5</v>
      </c>
      <c r="W363">
        <v>0.2</v>
      </c>
      <c r="X363">
        <v>2016</v>
      </c>
      <c r="Y363">
        <v>5</v>
      </c>
      <c r="Z363" t="s">
        <v>53</v>
      </c>
    </row>
    <row r="364" spans="1:26" x14ac:dyDescent="0.35">
      <c r="A364">
        <v>5418</v>
      </c>
      <c r="B364" t="s">
        <v>2117</v>
      </c>
      <c r="C364" s="1">
        <v>41800</v>
      </c>
      <c r="D364" s="1">
        <v>41861</v>
      </c>
      <c r="E364">
        <v>61</v>
      </c>
      <c r="F364" t="s">
        <v>2118</v>
      </c>
      <c r="G364" t="s">
        <v>2119</v>
      </c>
      <c r="H364" t="s">
        <v>57</v>
      </c>
      <c r="I364" t="s">
        <v>30</v>
      </c>
      <c r="J364" t="s">
        <v>31</v>
      </c>
      <c r="K364" t="s">
        <v>1069</v>
      </c>
      <c r="L364" t="s">
        <v>1070</v>
      </c>
      <c r="M364" t="s">
        <v>61</v>
      </c>
      <c r="N364" t="s">
        <v>1071</v>
      </c>
      <c r="O364" t="s">
        <v>2120</v>
      </c>
      <c r="P364" t="s">
        <v>50</v>
      </c>
      <c r="Q364" t="s">
        <v>51</v>
      </c>
      <c r="R364" t="s">
        <v>2121</v>
      </c>
      <c r="S364">
        <v>15.36</v>
      </c>
      <c r="T364">
        <v>7.68</v>
      </c>
      <c r="U364">
        <v>0.5</v>
      </c>
      <c r="V364">
        <v>2</v>
      </c>
      <c r="W364">
        <v>0</v>
      </c>
      <c r="X364">
        <v>2014</v>
      </c>
      <c r="Y364">
        <v>6</v>
      </c>
      <c r="Z364" t="s">
        <v>120</v>
      </c>
    </row>
    <row r="365" spans="1:26" x14ac:dyDescent="0.35">
      <c r="A365">
        <v>5424</v>
      </c>
      <c r="B365" t="s">
        <v>2122</v>
      </c>
      <c r="C365" s="1">
        <v>42805</v>
      </c>
      <c r="D365" s="1">
        <v>42866</v>
      </c>
      <c r="E365">
        <v>61</v>
      </c>
      <c r="F365" t="s">
        <v>1395</v>
      </c>
      <c r="G365" t="s">
        <v>1396</v>
      </c>
      <c r="H365" t="s">
        <v>57</v>
      </c>
      <c r="I365" t="s">
        <v>30</v>
      </c>
      <c r="J365" t="s">
        <v>31</v>
      </c>
      <c r="K365" t="s">
        <v>32</v>
      </c>
      <c r="L365" t="s">
        <v>382</v>
      </c>
      <c r="M365" t="s">
        <v>34</v>
      </c>
      <c r="N365" t="s">
        <v>383</v>
      </c>
      <c r="O365" t="s">
        <v>2123</v>
      </c>
      <c r="P365" t="s">
        <v>50</v>
      </c>
      <c r="Q365" t="s">
        <v>83</v>
      </c>
      <c r="R365" t="s">
        <v>2124</v>
      </c>
      <c r="S365">
        <v>26.4</v>
      </c>
      <c r="T365">
        <v>11.88</v>
      </c>
      <c r="U365">
        <v>0.45000000000000007</v>
      </c>
      <c r="V365">
        <v>5</v>
      </c>
      <c r="W365">
        <v>0</v>
      </c>
      <c r="X365">
        <v>2017</v>
      </c>
      <c r="Y365">
        <v>3</v>
      </c>
      <c r="Z365" t="s">
        <v>103</v>
      </c>
    </row>
    <row r="366" spans="1:26" x14ac:dyDescent="0.35">
      <c r="A366">
        <v>5426</v>
      </c>
      <c r="B366" t="s">
        <v>2125</v>
      </c>
      <c r="C366" s="1">
        <v>42441</v>
      </c>
      <c r="D366" s="1">
        <v>42533</v>
      </c>
      <c r="E366">
        <v>92</v>
      </c>
      <c r="F366" t="s">
        <v>1047</v>
      </c>
      <c r="G366" t="s">
        <v>1048</v>
      </c>
      <c r="H366" t="s">
        <v>29</v>
      </c>
      <c r="I366" t="s">
        <v>58</v>
      </c>
      <c r="J366" t="s">
        <v>31</v>
      </c>
      <c r="K366" t="s">
        <v>205</v>
      </c>
      <c r="L366" t="s">
        <v>206</v>
      </c>
      <c r="M366" t="s">
        <v>47</v>
      </c>
      <c r="N366" t="s">
        <v>207</v>
      </c>
      <c r="O366" t="s">
        <v>2126</v>
      </c>
      <c r="P366" t="s">
        <v>64</v>
      </c>
      <c r="Q366" t="s">
        <v>288</v>
      </c>
      <c r="R366" t="s">
        <v>2127</v>
      </c>
      <c r="S366">
        <v>1649.95</v>
      </c>
      <c r="T366">
        <v>659.98</v>
      </c>
      <c r="U366">
        <v>0.4</v>
      </c>
      <c r="V366">
        <v>5</v>
      </c>
      <c r="W366">
        <v>0</v>
      </c>
      <c r="X366">
        <v>2016</v>
      </c>
      <c r="Y366">
        <v>3</v>
      </c>
      <c r="Z366" t="s">
        <v>103</v>
      </c>
    </row>
    <row r="367" spans="1:26" x14ac:dyDescent="0.35">
      <c r="A367">
        <v>5503</v>
      </c>
      <c r="B367" t="s">
        <v>2128</v>
      </c>
      <c r="C367" s="1">
        <v>42777</v>
      </c>
      <c r="D367" s="1">
        <v>42897</v>
      </c>
      <c r="E367">
        <v>120</v>
      </c>
      <c r="F367" t="s">
        <v>2129</v>
      </c>
      <c r="G367" t="s">
        <v>2130</v>
      </c>
      <c r="H367" t="s">
        <v>57</v>
      </c>
      <c r="I367" t="s">
        <v>44</v>
      </c>
      <c r="J367" t="s">
        <v>31</v>
      </c>
      <c r="K367" t="s">
        <v>189</v>
      </c>
      <c r="L367" t="s">
        <v>190</v>
      </c>
      <c r="M367" t="s">
        <v>126</v>
      </c>
      <c r="N367" t="s">
        <v>191</v>
      </c>
      <c r="O367" t="s">
        <v>2131</v>
      </c>
      <c r="P367" t="s">
        <v>37</v>
      </c>
      <c r="Q367" t="s">
        <v>129</v>
      </c>
      <c r="R367" t="s">
        <v>2132</v>
      </c>
      <c r="S367">
        <v>3.3119999999999998</v>
      </c>
      <c r="T367">
        <v>0.66239999999999999</v>
      </c>
      <c r="U367">
        <v>0.2</v>
      </c>
      <c r="V367">
        <v>1</v>
      </c>
      <c r="W367">
        <v>0.2</v>
      </c>
      <c r="X367">
        <v>2017</v>
      </c>
      <c r="Y367">
        <v>2</v>
      </c>
      <c r="Z367" t="s">
        <v>162</v>
      </c>
    </row>
    <row r="368" spans="1:26" x14ac:dyDescent="0.35">
      <c r="A368">
        <v>5507</v>
      </c>
      <c r="B368" t="s">
        <v>2133</v>
      </c>
      <c r="C368" s="1">
        <v>42592</v>
      </c>
      <c r="D368" s="1">
        <v>42592</v>
      </c>
      <c r="E368">
        <v>0</v>
      </c>
      <c r="F368" t="s">
        <v>839</v>
      </c>
      <c r="G368" t="s">
        <v>840</v>
      </c>
      <c r="H368" t="s">
        <v>29</v>
      </c>
      <c r="I368" t="s">
        <v>543</v>
      </c>
      <c r="J368" t="s">
        <v>31</v>
      </c>
      <c r="K368" t="s">
        <v>205</v>
      </c>
      <c r="L368" t="s">
        <v>206</v>
      </c>
      <c r="M368" t="s">
        <v>47</v>
      </c>
      <c r="N368" t="s">
        <v>436</v>
      </c>
      <c r="O368" t="s">
        <v>2134</v>
      </c>
      <c r="P368" t="s">
        <v>50</v>
      </c>
      <c r="Q368" t="s">
        <v>83</v>
      </c>
      <c r="R368" t="s">
        <v>2135</v>
      </c>
      <c r="S368">
        <v>61.96</v>
      </c>
      <c r="T368">
        <v>27.882000000000001</v>
      </c>
      <c r="U368">
        <v>0.45</v>
      </c>
      <c r="V368">
        <v>2</v>
      </c>
      <c r="W368">
        <v>0</v>
      </c>
      <c r="X368">
        <v>2016</v>
      </c>
      <c r="Y368">
        <v>8</v>
      </c>
      <c r="Z368" t="s">
        <v>40</v>
      </c>
    </row>
    <row r="369" spans="1:26" x14ac:dyDescent="0.35">
      <c r="A369">
        <v>5547</v>
      </c>
      <c r="B369" t="s">
        <v>2136</v>
      </c>
      <c r="C369" s="1">
        <v>42925</v>
      </c>
      <c r="D369" s="1">
        <v>42956</v>
      </c>
      <c r="E369">
        <v>31</v>
      </c>
      <c r="F369" t="s">
        <v>1594</v>
      </c>
      <c r="G369" t="s">
        <v>1595</v>
      </c>
      <c r="H369" t="s">
        <v>29</v>
      </c>
      <c r="I369" t="s">
        <v>58</v>
      </c>
      <c r="J369" t="s">
        <v>31</v>
      </c>
      <c r="K369" t="s">
        <v>574</v>
      </c>
      <c r="L369" t="s">
        <v>2137</v>
      </c>
      <c r="M369" t="s">
        <v>47</v>
      </c>
      <c r="N369" t="s">
        <v>2138</v>
      </c>
      <c r="O369" t="s">
        <v>2139</v>
      </c>
      <c r="P369" t="s">
        <v>37</v>
      </c>
      <c r="Q369" t="s">
        <v>129</v>
      </c>
      <c r="R369" t="s">
        <v>2140</v>
      </c>
      <c r="S369">
        <v>25.16</v>
      </c>
      <c r="T369">
        <v>10.5672</v>
      </c>
      <c r="U369">
        <v>0.42</v>
      </c>
      <c r="V369">
        <v>2</v>
      </c>
      <c r="W369">
        <v>0</v>
      </c>
      <c r="X369">
        <v>2017</v>
      </c>
      <c r="Y369">
        <v>7</v>
      </c>
      <c r="Z369" t="s">
        <v>217</v>
      </c>
    </row>
    <row r="370" spans="1:26" x14ac:dyDescent="0.35">
      <c r="A370">
        <v>5556</v>
      </c>
      <c r="B370" t="s">
        <v>2141</v>
      </c>
      <c r="C370" s="1">
        <v>42776</v>
      </c>
      <c r="D370" s="1">
        <v>42896</v>
      </c>
      <c r="E370">
        <v>120</v>
      </c>
      <c r="F370" t="s">
        <v>2142</v>
      </c>
      <c r="G370" t="s">
        <v>2143</v>
      </c>
      <c r="H370" t="s">
        <v>57</v>
      </c>
      <c r="I370" t="s">
        <v>30</v>
      </c>
      <c r="J370" t="s">
        <v>31</v>
      </c>
      <c r="K370" t="s">
        <v>871</v>
      </c>
      <c r="L370" t="s">
        <v>2144</v>
      </c>
      <c r="M370" t="s">
        <v>34</v>
      </c>
      <c r="N370" t="s">
        <v>2145</v>
      </c>
      <c r="O370" t="s">
        <v>2146</v>
      </c>
      <c r="P370" t="s">
        <v>37</v>
      </c>
      <c r="Q370" t="s">
        <v>129</v>
      </c>
      <c r="R370" t="s">
        <v>2147</v>
      </c>
      <c r="S370">
        <v>10.16</v>
      </c>
      <c r="T370">
        <v>3.4544000000000001</v>
      </c>
      <c r="U370">
        <v>0.34</v>
      </c>
      <c r="V370">
        <v>2</v>
      </c>
      <c r="W370">
        <v>0</v>
      </c>
      <c r="X370">
        <v>2017</v>
      </c>
      <c r="Y370">
        <v>2</v>
      </c>
      <c r="Z370" t="s">
        <v>162</v>
      </c>
    </row>
    <row r="371" spans="1:26" x14ac:dyDescent="0.35">
      <c r="A371">
        <v>5559</v>
      </c>
      <c r="B371" t="s">
        <v>2148</v>
      </c>
      <c r="C371" s="1">
        <v>42167</v>
      </c>
      <c r="D371" s="1">
        <v>42289</v>
      </c>
      <c r="E371">
        <v>122</v>
      </c>
      <c r="F371" t="s">
        <v>1341</v>
      </c>
      <c r="G371" t="s">
        <v>1342</v>
      </c>
      <c r="H371" t="s">
        <v>29</v>
      </c>
      <c r="I371" t="s">
        <v>44</v>
      </c>
      <c r="J371" t="s">
        <v>31</v>
      </c>
      <c r="K371" t="s">
        <v>2149</v>
      </c>
      <c r="L371" t="s">
        <v>2150</v>
      </c>
      <c r="M371" t="s">
        <v>47</v>
      </c>
      <c r="N371" t="s">
        <v>2151</v>
      </c>
      <c r="O371" t="s">
        <v>2152</v>
      </c>
      <c r="P371" t="s">
        <v>50</v>
      </c>
      <c r="Q371" t="s">
        <v>83</v>
      </c>
      <c r="R371" t="s">
        <v>2153</v>
      </c>
      <c r="S371">
        <v>6.48</v>
      </c>
      <c r="T371">
        <v>3.1103999999999998</v>
      </c>
      <c r="U371">
        <v>0.47999999999999993</v>
      </c>
      <c r="V371">
        <v>1</v>
      </c>
      <c r="W371">
        <v>0</v>
      </c>
      <c r="X371">
        <v>2015</v>
      </c>
      <c r="Y371">
        <v>6</v>
      </c>
      <c r="Z371" t="s">
        <v>120</v>
      </c>
    </row>
    <row r="372" spans="1:26" x14ac:dyDescent="0.35">
      <c r="A372">
        <v>5600</v>
      </c>
      <c r="B372" t="s">
        <v>2154</v>
      </c>
      <c r="C372" s="1">
        <v>41708</v>
      </c>
      <c r="D372" s="1">
        <v>41708</v>
      </c>
      <c r="E372">
        <v>0</v>
      </c>
      <c r="F372" t="s">
        <v>2155</v>
      </c>
      <c r="G372" t="s">
        <v>2156</v>
      </c>
      <c r="H372" t="s">
        <v>29</v>
      </c>
      <c r="I372" t="s">
        <v>543</v>
      </c>
      <c r="J372" t="s">
        <v>31</v>
      </c>
      <c r="K372" t="s">
        <v>181</v>
      </c>
      <c r="L372" t="s">
        <v>182</v>
      </c>
      <c r="M372" t="s">
        <v>126</v>
      </c>
      <c r="N372" t="s">
        <v>183</v>
      </c>
      <c r="O372" t="s">
        <v>2157</v>
      </c>
      <c r="P372" t="s">
        <v>50</v>
      </c>
      <c r="Q372" t="s">
        <v>74</v>
      </c>
      <c r="R372" t="s">
        <v>2158</v>
      </c>
      <c r="S372">
        <v>55.984000000000002</v>
      </c>
      <c r="T372">
        <v>4.1988000000000003</v>
      </c>
      <c r="U372">
        <v>7.4999999999999997E-2</v>
      </c>
      <c r="V372">
        <v>2</v>
      </c>
      <c r="W372">
        <v>0.2</v>
      </c>
      <c r="X372">
        <v>2014</v>
      </c>
      <c r="Y372">
        <v>3</v>
      </c>
      <c r="Z372" t="s">
        <v>103</v>
      </c>
    </row>
    <row r="373" spans="1:26" x14ac:dyDescent="0.35">
      <c r="A373">
        <v>5605</v>
      </c>
      <c r="B373" t="s">
        <v>2159</v>
      </c>
      <c r="C373" s="1">
        <v>42075</v>
      </c>
      <c r="D373" s="1">
        <v>42197</v>
      </c>
      <c r="E373">
        <v>122</v>
      </c>
      <c r="F373" t="s">
        <v>2160</v>
      </c>
      <c r="G373" t="s">
        <v>2161</v>
      </c>
      <c r="H373" t="s">
        <v>57</v>
      </c>
      <c r="I373" t="s">
        <v>44</v>
      </c>
      <c r="J373" t="s">
        <v>31</v>
      </c>
      <c r="K373" t="s">
        <v>124</v>
      </c>
      <c r="L373" t="s">
        <v>125</v>
      </c>
      <c r="M373" t="s">
        <v>126</v>
      </c>
      <c r="N373" t="s">
        <v>740</v>
      </c>
      <c r="O373" t="s">
        <v>2162</v>
      </c>
      <c r="P373" t="s">
        <v>50</v>
      </c>
      <c r="Q373" t="s">
        <v>51</v>
      </c>
      <c r="R373" t="s">
        <v>2163</v>
      </c>
      <c r="S373">
        <v>590.35199999999998</v>
      </c>
      <c r="T373">
        <v>206.6232</v>
      </c>
      <c r="U373">
        <v>0.35000000000000003</v>
      </c>
      <c r="V373">
        <v>6</v>
      </c>
      <c r="W373">
        <v>0.2</v>
      </c>
      <c r="X373">
        <v>2015</v>
      </c>
      <c r="Y373">
        <v>3</v>
      </c>
      <c r="Z373" t="s">
        <v>103</v>
      </c>
    </row>
    <row r="374" spans="1:26" x14ac:dyDescent="0.35">
      <c r="A374">
        <v>5609</v>
      </c>
      <c r="B374" t="s">
        <v>2164</v>
      </c>
      <c r="C374" s="1">
        <v>42167</v>
      </c>
      <c r="D374" s="1">
        <v>42320</v>
      </c>
      <c r="E374">
        <v>153</v>
      </c>
      <c r="F374" t="s">
        <v>2165</v>
      </c>
      <c r="G374" t="s">
        <v>2166</v>
      </c>
      <c r="H374" t="s">
        <v>29</v>
      </c>
      <c r="I374" t="s">
        <v>44</v>
      </c>
      <c r="J374" t="s">
        <v>31</v>
      </c>
      <c r="K374" t="s">
        <v>205</v>
      </c>
      <c r="L374" t="s">
        <v>371</v>
      </c>
      <c r="M374" t="s">
        <v>47</v>
      </c>
      <c r="N374" t="s">
        <v>921</v>
      </c>
      <c r="O374" t="s">
        <v>2167</v>
      </c>
      <c r="P374" t="s">
        <v>50</v>
      </c>
      <c r="Q374" t="s">
        <v>138</v>
      </c>
      <c r="R374" t="s">
        <v>2168</v>
      </c>
      <c r="S374">
        <v>7.78</v>
      </c>
      <c r="T374">
        <v>2.0228000000000002</v>
      </c>
      <c r="U374">
        <v>0.26</v>
      </c>
      <c r="V374">
        <v>2</v>
      </c>
      <c r="W374">
        <v>0</v>
      </c>
      <c r="X374">
        <v>2015</v>
      </c>
      <c r="Y374">
        <v>6</v>
      </c>
      <c r="Z374" t="s">
        <v>120</v>
      </c>
    </row>
    <row r="375" spans="1:26" x14ac:dyDescent="0.35">
      <c r="A375">
        <v>5614</v>
      </c>
      <c r="B375" t="s">
        <v>2169</v>
      </c>
      <c r="C375" s="1">
        <v>42402</v>
      </c>
      <c r="D375" s="1">
        <v>42553</v>
      </c>
      <c r="E375">
        <v>151</v>
      </c>
      <c r="F375" t="s">
        <v>1859</v>
      </c>
      <c r="G375" t="s">
        <v>1860</v>
      </c>
      <c r="H375" t="s">
        <v>29</v>
      </c>
      <c r="I375" t="s">
        <v>44</v>
      </c>
      <c r="J375" t="s">
        <v>31</v>
      </c>
      <c r="K375" t="s">
        <v>124</v>
      </c>
      <c r="L375" t="s">
        <v>125</v>
      </c>
      <c r="M375" t="s">
        <v>126</v>
      </c>
      <c r="N375" t="s">
        <v>740</v>
      </c>
      <c r="O375" t="s">
        <v>2170</v>
      </c>
      <c r="P375" t="s">
        <v>50</v>
      </c>
      <c r="Q375" t="s">
        <v>110</v>
      </c>
      <c r="R375" t="s">
        <v>2171</v>
      </c>
      <c r="S375">
        <v>117.96</v>
      </c>
      <c r="T375">
        <v>5.8979999999999997</v>
      </c>
      <c r="U375">
        <v>0.05</v>
      </c>
      <c r="V375">
        <v>2</v>
      </c>
      <c r="W375">
        <v>0</v>
      </c>
      <c r="X375">
        <v>2016</v>
      </c>
      <c r="Y375">
        <v>2</v>
      </c>
      <c r="Z375" t="s">
        <v>162</v>
      </c>
    </row>
    <row r="376" spans="1:26" x14ac:dyDescent="0.35">
      <c r="A376">
        <v>5643</v>
      </c>
      <c r="B376" t="s">
        <v>2172</v>
      </c>
      <c r="C376" s="1">
        <v>42373</v>
      </c>
      <c r="D376" s="1">
        <v>42494</v>
      </c>
      <c r="E376">
        <v>121</v>
      </c>
      <c r="F376" t="s">
        <v>2173</v>
      </c>
      <c r="G376" t="s">
        <v>2174</v>
      </c>
      <c r="H376" t="s">
        <v>107</v>
      </c>
      <c r="I376" t="s">
        <v>30</v>
      </c>
      <c r="J376" t="s">
        <v>31</v>
      </c>
      <c r="K376" t="s">
        <v>345</v>
      </c>
      <c r="L376" t="s">
        <v>182</v>
      </c>
      <c r="M376" t="s">
        <v>34</v>
      </c>
      <c r="N376" t="s">
        <v>346</v>
      </c>
      <c r="O376" t="s">
        <v>2175</v>
      </c>
      <c r="P376" t="s">
        <v>37</v>
      </c>
      <c r="Q376" t="s">
        <v>129</v>
      </c>
      <c r="R376" t="s">
        <v>2176</v>
      </c>
      <c r="S376">
        <v>7.04</v>
      </c>
      <c r="T376">
        <v>3.0975999999999999</v>
      </c>
      <c r="U376">
        <v>0.44</v>
      </c>
      <c r="V376">
        <v>4</v>
      </c>
      <c r="W376">
        <v>0</v>
      </c>
      <c r="X376">
        <v>2016</v>
      </c>
      <c r="Y376">
        <v>1</v>
      </c>
      <c r="Z376" t="s">
        <v>147</v>
      </c>
    </row>
    <row r="377" spans="1:26" x14ac:dyDescent="0.35">
      <c r="A377">
        <v>5671</v>
      </c>
      <c r="B377" t="s">
        <v>2177</v>
      </c>
      <c r="C377" s="1">
        <v>42253</v>
      </c>
      <c r="D377" s="1">
        <v>42314</v>
      </c>
      <c r="E377">
        <v>61</v>
      </c>
      <c r="F377" t="s">
        <v>2178</v>
      </c>
      <c r="G377" t="s">
        <v>2179</v>
      </c>
      <c r="H377" t="s">
        <v>29</v>
      </c>
      <c r="I377" t="s">
        <v>30</v>
      </c>
      <c r="J377" t="s">
        <v>31</v>
      </c>
      <c r="K377" t="s">
        <v>1648</v>
      </c>
      <c r="L377" t="s">
        <v>2180</v>
      </c>
      <c r="M377" t="s">
        <v>47</v>
      </c>
      <c r="N377" t="s">
        <v>2181</v>
      </c>
      <c r="O377" t="s">
        <v>2182</v>
      </c>
      <c r="P377" t="s">
        <v>37</v>
      </c>
      <c r="Q377" t="s">
        <v>129</v>
      </c>
      <c r="R377" t="s">
        <v>2183</v>
      </c>
      <c r="S377">
        <v>355.36</v>
      </c>
      <c r="T377">
        <v>92.393600000000006</v>
      </c>
      <c r="U377">
        <v>0.26</v>
      </c>
      <c r="V377">
        <v>4</v>
      </c>
      <c r="W377">
        <v>0</v>
      </c>
      <c r="X377">
        <v>2015</v>
      </c>
      <c r="Y377">
        <v>9</v>
      </c>
      <c r="Z377" t="s">
        <v>93</v>
      </c>
    </row>
    <row r="378" spans="1:26" x14ac:dyDescent="0.35">
      <c r="A378">
        <v>5686</v>
      </c>
      <c r="B378" t="s">
        <v>2184</v>
      </c>
      <c r="C378" s="1">
        <v>42135</v>
      </c>
      <c r="D378" s="1">
        <v>42135</v>
      </c>
      <c r="E378">
        <v>0</v>
      </c>
      <c r="F378" t="s">
        <v>278</v>
      </c>
      <c r="G378" t="s">
        <v>279</v>
      </c>
      <c r="H378" t="s">
        <v>29</v>
      </c>
      <c r="I378" t="s">
        <v>543</v>
      </c>
      <c r="J378" t="s">
        <v>31</v>
      </c>
      <c r="K378" t="s">
        <v>45</v>
      </c>
      <c r="L378" t="s">
        <v>46</v>
      </c>
      <c r="M378" t="s">
        <v>47</v>
      </c>
      <c r="N378" t="s">
        <v>378</v>
      </c>
      <c r="O378" t="s">
        <v>2185</v>
      </c>
      <c r="P378" t="s">
        <v>50</v>
      </c>
      <c r="Q378" t="s">
        <v>51</v>
      </c>
      <c r="R378" t="s">
        <v>2186</v>
      </c>
      <c r="S378">
        <v>98.352000000000004</v>
      </c>
      <c r="T378">
        <v>35.6526</v>
      </c>
      <c r="U378">
        <v>0.36249999999999999</v>
      </c>
      <c r="V378">
        <v>3</v>
      </c>
      <c r="W378">
        <v>0.2</v>
      </c>
      <c r="X378">
        <v>2015</v>
      </c>
      <c r="Y378">
        <v>5</v>
      </c>
      <c r="Z378" t="s">
        <v>53</v>
      </c>
    </row>
    <row r="379" spans="1:26" x14ac:dyDescent="0.35">
      <c r="A379">
        <v>5706</v>
      </c>
      <c r="B379" t="s">
        <v>2187</v>
      </c>
      <c r="C379" s="1">
        <v>41709</v>
      </c>
      <c r="D379" s="1">
        <v>41862</v>
      </c>
      <c r="E379">
        <v>153</v>
      </c>
      <c r="F379" t="s">
        <v>1182</v>
      </c>
      <c r="G379" t="s">
        <v>1183</v>
      </c>
      <c r="H379" t="s">
        <v>29</v>
      </c>
      <c r="I379" t="s">
        <v>44</v>
      </c>
      <c r="J379" t="s">
        <v>31</v>
      </c>
      <c r="K379" t="s">
        <v>1038</v>
      </c>
      <c r="L379" t="s">
        <v>1418</v>
      </c>
      <c r="M379" t="s">
        <v>126</v>
      </c>
      <c r="N379" t="s">
        <v>1419</v>
      </c>
      <c r="O379" t="s">
        <v>2188</v>
      </c>
      <c r="P379" t="s">
        <v>50</v>
      </c>
      <c r="Q379" t="s">
        <v>531</v>
      </c>
      <c r="R379" t="s">
        <v>2189</v>
      </c>
      <c r="S379">
        <v>11.64</v>
      </c>
      <c r="T379">
        <v>3.3755999999999999</v>
      </c>
      <c r="U379">
        <v>0.28999999999999998</v>
      </c>
      <c r="V379">
        <v>3</v>
      </c>
      <c r="W379">
        <v>0</v>
      </c>
      <c r="X379">
        <v>2014</v>
      </c>
      <c r="Y379">
        <v>3</v>
      </c>
      <c r="Z379" t="s">
        <v>103</v>
      </c>
    </row>
    <row r="380" spans="1:26" x14ac:dyDescent="0.35">
      <c r="A380">
        <v>5714</v>
      </c>
      <c r="B380" t="s">
        <v>2190</v>
      </c>
      <c r="C380" s="1">
        <v>41642</v>
      </c>
      <c r="D380" s="1">
        <v>41762</v>
      </c>
      <c r="E380">
        <v>120</v>
      </c>
      <c r="F380" t="s">
        <v>2191</v>
      </c>
      <c r="G380" t="s">
        <v>2192</v>
      </c>
      <c r="H380" t="s">
        <v>107</v>
      </c>
      <c r="I380" t="s">
        <v>44</v>
      </c>
      <c r="J380" t="s">
        <v>31</v>
      </c>
      <c r="K380" t="s">
        <v>124</v>
      </c>
      <c r="L380" t="s">
        <v>125</v>
      </c>
      <c r="M380" t="s">
        <v>126</v>
      </c>
      <c r="N380" t="s">
        <v>667</v>
      </c>
      <c r="O380" t="s">
        <v>2193</v>
      </c>
      <c r="P380" t="s">
        <v>64</v>
      </c>
      <c r="Q380" t="s">
        <v>65</v>
      </c>
      <c r="R380" t="s">
        <v>2194</v>
      </c>
      <c r="S380">
        <v>5.94</v>
      </c>
      <c r="T380">
        <v>1.6037999999999999</v>
      </c>
      <c r="U380">
        <v>0.26999999999999996</v>
      </c>
      <c r="V380">
        <v>3</v>
      </c>
      <c r="W380">
        <v>0</v>
      </c>
      <c r="X380">
        <v>2014</v>
      </c>
      <c r="Y380">
        <v>1</v>
      </c>
      <c r="Z380" t="s">
        <v>147</v>
      </c>
    </row>
    <row r="381" spans="1:26" x14ac:dyDescent="0.35">
      <c r="A381">
        <v>5781</v>
      </c>
      <c r="B381" t="s">
        <v>2195</v>
      </c>
      <c r="C381" s="1">
        <v>42039</v>
      </c>
      <c r="D381" s="1">
        <v>42251</v>
      </c>
      <c r="E381">
        <v>212</v>
      </c>
      <c r="F381" t="s">
        <v>2196</v>
      </c>
      <c r="G381" t="s">
        <v>2197</v>
      </c>
      <c r="H381" t="s">
        <v>29</v>
      </c>
      <c r="I381" t="s">
        <v>44</v>
      </c>
      <c r="J381" t="s">
        <v>31</v>
      </c>
      <c r="K381" t="s">
        <v>205</v>
      </c>
      <c r="L381" t="s">
        <v>206</v>
      </c>
      <c r="M381" t="s">
        <v>47</v>
      </c>
      <c r="N381" t="s">
        <v>949</v>
      </c>
      <c r="O381" t="s">
        <v>2198</v>
      </c>
      <c r="P381" t="s">
        <v>64</v>
      </c>
      <c r="Q381" t="s">
        <v>353</v>
      </c>
      <c r="R381" t="s">
        <v>2199</v>
      </c>
      <c r="S381">
        <v>71.975999999999999</v>
      </c>
      <c r="T381">
        <v>24.291899999999998</v>
      </c>
      <c r="U381">
        <v>0.33749999999999997</v>
      </c>
      <c r="V381">
        <v>3</v>
      </c>
      <c r="W381">
        <v>0.2</v>
      </c>
      <c r="X381">
        <v>2015</v>
      </c>
      <c r="Y381">
        <v>2</v>
      </c>
      <c r="Z381" t="s">
        <v>162</v>
      </c>
    </row>
    <row r="382" spans="1:26" x14ac:dyDescent="0.35">
      <c r="A382">
        <v>5810</v>
      </c>
      <c r="B382" t="s">
        <v>2200</v>
      </c>
      <c r="C382" s="1">
        <v>42523</v>
      </c>
      <c r="D382" s="1">
        <v>42676</v>
      </c>
      <c r="E382">
        <v>153</v>
      </c>
      <c r="F382" t="s">
        <v>434</v>
      </c>
      <c r="G382" t="s">
        <v>435</v>
      </c>
      <c r="H382" t="s">
        <v>57</v>
      </c>
      <c r="I382" t="s">
        <v>44</v>
      </c>
      <c r="J382" t="s">
        <v>31</v>
      </c>
      <c r="K382" t="s">
        <v>166</v>
      </c>
      <c r="L382" t="s">
        <v>2201</v>
      </c>
      <c r="M382" t="s">
        <v>34</v>
      </c>
      <c r="N382" t="s">
        <v>2202</v>
      </c>
      <c r="O382" t="s">
        <v>2203</v>
      </c>
      <c r="P382" t="s">
        <v>37</v>
      </c>
      <c r="Q382" t="s">
        <v>129</v>
      </c>
      <c r="R382" t="s">
        <v>2204</v>
      </c>
      <c r="S382">
        <v>132.22399999999999</v>
      </c>
      <c r="T382">
        <v>-18.180800000000001</v>
      </c>
      <c r="U382">
        <v>-0.13750000000000001</v>
      </c>
      <c r="V382">
        <v>4</v>
      </c>
      <c r="W382">
        <v>0.2</v>
      </c>
      <c r="X382">
        <v>2016</v>
      </c>
      <c r="Y382">
        <v>6</v>
      </c>
      <c r="Z382" t="s">
        <v>120</v>
      </c>
    </row>
    <row r="383" spans="1:26" x14ac:dyDescent="0.35">
      <c r="A383">
        <v>5826</v>
      </c>
      <c r="B383" t="s">
        <v>2205</v>
      </c>
      <c r="C383" s="1">
        <v>42803</v>
      </c>
      <c r="D383" s="1">
        <v>42895</v>
      </c>
      <c r="E383">
        <v>92</v>
      </c>
      <c r="F383" t="s">
        <v>2206</v>
      </c>
      <c r="G383" t="s">
        <v>2207</v>
      </c>
      <c r="H383" t="s">
        <v>107</v>
      </c>
      <c r="I383" t="s">
        <v>30</v>
      </c>
      <c r="J383" t="s">
        <v>31</v>
      </c>
      <c r="K383" t="s">
        <v>124</v>
      </c>
      <c r="L383" t="s">
        <v>125</v>
      </c>
      <c r="M383" t="s">
        <v>126</v>
      </c>
      <c r="N383" t="s">
        <v>667</v>
      </c>
      <c r="O383" t="s">
        <v>2208</v>
      </c>
      <c r="P383" t="s">
        <v>50</v>
      </c>
      <c r="Q383" t="s">
        <v>83</v>
      </c>
      <c r="R383" t="s">
        <v>2209</v>
      </c>
      <c r="S383">
        <v>419.4</v>
      </c>
      <c r="T383">
        <v>201.31200000000001</v>
      </c>
      <c r="U383">
        <v>0.48000000000000004</v>
      </c>
      <c r="V383">
        <v>4</v>
      </c>
      <c r="W383">
        <v>0</v>
      </c>
      <c r="X383">
        <v>2017</v>
      </c>
      <c r="Y383">
        <v>3</v>
      </c>
      <c r="Z383" t="s">
        <v>103</v>
      </c>
    </row>
    <row r="384" spans="1:26" x14ac:dyDescent="0.35">
      <c r="A384">
        <v>5862</v>
      </c>
      <c r="B384" t="s">
        <v>2210</v>
      </c>
      <c r="C384" s="1">
        <v>42374</v>
      </c>
      <c r="D384" s="1">
        <v>42465</v>
      </c>
      <c r="E384">
        <v>91</v>
      </c>
      <c r="F384" t="s">
        <v>2211</v>
      </c>
      <c r="G384" t="s">
        <v>2212</v>
      </c>
      <c r="H384" t="s">
        <v>29</v>
      </c>
      <c r="I384" t="s">
        <v>30</v>
      </c>
      <c r="J384" t="s">
        <v>31</v>
      </c>
      <c r="K384" t="s">
        <v>1850</v>
      </c>
      <c r="L384" t="s">
        <v>2213</v>
      </c>
      <c r="M384" t="s">
        <v>34</v>
      </c>
      <c r="N384" t="s">
        <v>2214</v>
      </c>
      <c r="O384" t="s">
        <v>2215</v>
      </c>
      <c r="P384" t="s">
        <v>50</v>
      </c>
      <c r="Q384" t="s">
        <v>83</v>
      </c>
      <c r="R384" t="s">
        <v>2216</v>
      </c>
      <c r="S384">
        <v>109.92</v>
      </c>
      <c r="T384">
        <v>53.860799999999998</v>
      </c>
      <c r="U384">
        <v>0.49</v>
      </c>
      <c r="V384">
        <v>2</v>
      </c>
      <c r="W384">
        <v>0</v>
      </c>
      <c r="X384">
        <v>2016</v>
      </c>
      <c r="Y384">
        <v>1</v>
      </c>
      <c r="Z384" t="s">
        <v>147</v>
      </c>
    </row>
    <row r="385" spans="1:26" x14ac:dyDescent="0.35">
      <c r="A385">
        <v>5865</v>
      </c>
      <c r="B385" t="s">
        <v>2217</v>
      </c>
      <c r="C385" s="1">
        <v>41767</v>
      </c>
      <c r="D385" s="1">
        <v>41828</v>
      </c>
      <c r="E385">
        <v>61</v>
      </c>
      <c r="F385" t="s">
        <v>1405</v>
      </c>
      <c r="G385" t="s">
        <v>1406</v>
      </c>
      <c r="H385" t="s">
        <v>57</v>
      </c>
      <c r="I385" t="s">
        <v>30</v>
      </c>
      <c r="J385" t="s">
        <v>31</v>
      </c>
      <c r="K385" t="s">
        <v>1038</v>
      </c>
      <c r="L385" t="s">
        <v>2218</v>
      </c>
      <c r="M385" t="s">
        <v>126</v>
      </c>
      <c r="N385" t="s">
        <v>2219</v>
      </c>
      <c r="O385" t="s">
        <v>2220</v>
      </c>
      <c r="P385" t="s">
        <v>50</v>
      </c>
      <c r="Q385" t="s">
        <v>138</v>
      </c>
      <c r="R385" t="s">
        <v>2221</v>
      </c>
      <c r="S385">
        <v>79.47</v>
      </c>
      <c r="T385">
        <v>22.2516</v>
      </c>
      <c r="U385">
        <v>0.28000000000000003</v>
      </c>
      <c r="V385">
        <v>3</v>
      </c>
      <c r="W385">
        <v>0</v>
      </c>
      <c r="X385">
        <v>2014</v>
      </c>
      <c r="Y385">
        <v>5</v>
      </c>
      <c r="Z385" t="s">
        <v>53</v>
      </c>
    </row>
    <row r="386" spans="1:26" x14ac:dyDescent="0.35">
      <c r="A386">
        <v>5880</v>
      </c>
      <c r="B386" t="s">
        <v>2222</v>
      </c>
      <c r="C386" s="1">
        <v>42499</v>
      </c>
      <c r="D386" s="1">
        <v>42683</v>
      </c>
      <c r="E386">
        <v>184</v>
      </c>
      <c r="F386" t="s">
        <v>2223</v>
      </c>
      <c r="G386" t="s">
        <v>2224</v>
      </c>
      <c r="H386" t="s">
        <v>29</v>
      </c>
      <c r="I386" t="s">
        <v>44</v>
      </c>
      <c r="J386" t="s">
        <v>31</v>
      </c>
      <c r="K386" t="s">
        <v>124</v>
      </c>
      <c r="L386" t="s">
        <v>125</v>
      </c>
      <c r="M386" t="s">
        <v>126</v>
      </c>
      <c r="N386" t="s">
        <v>740</v>
      </c>
      <c r="O386" t="s">
        <v>2225</v>
      </c>
      <c r="P386" t="s">
        <v>50</v>
      </c>
      <c r="Q386" t="s">
        <v>83</v>
      </c>
      <c r="R386" t="s">
        <v>2226</v>
      </c>
      <c r="S386">
        <v>192.16</v>
      </c>
      <c r="T386">
        <v>92.236800000000002</v>
      </c>
      <c r="U386">
        <v>0.48000000000000004</v>
      </c>
      <c r="V386">
        <v>4</v>
      </c>
      <c r="W386">
        <v>0</v>
      </c>
      <c r="X386">
        <v>2016</v>
      </c>
      <c r="Y386">
        <v>5</v>
      </c>
      <c r="Z386" t="s">
        <v>53</v>
      </c>
    </row>
    <row r="387" spans="1:26" x14ac:dyDescent="0.35">
      <c r="A387">
        <v>5889</v>
      </c>
      <c r="B387" t="s">
        <v>2227</v>
      </c>
      <c r="C387" s="1">
        <v>42190</v>
      </c>
      <c r="D387" s="1">
        <v>42343</v>
      </c>
      <c r="E387">
        <v>153</v>
      </c>
      <c r="F387" t="s">
        <v>1416</v>
      </c>
      <c r="G387" t="s">
        <v>1417</v>
      </c>
      <c r="H387" t="s">
        <v>29</v>
      </c>
      <c r="I387" t="s">
        <v>44</v>
      </c>
      <c r="J387" t="s">
        <v>31</v>
      </c>
      <c r="K387" t="s">
        <v>32</v>
      </c>
      <c r="L387" t="s">
        <v>2228</v>
      </c>
      <c r="M387" t="s">
        <v>34</v>
      </c>
      <c r="N387" t="s">
        <v>2229</v>
      </c>
      <c r="O387" t="s">
        <v>2230</v>
      </c>
      <c r="P387" t="s">
        <v>50</v>
      </c>
      <c r="Q387" t="s">
        <v>83</v>
      </c>
      <c r="R387" t="s">
        <v>2231</v>
      </c>
      <c r="S387">
        <v>45.68</v>
      </c>
      <c r="T387">
        <v>21.012799999999999</v>
      </c>
      <c r="U387">
        <v>0.45999999999999996</v>
      </c>
      <c r="V387">
        <v>2</v>
      </c>
      <c r="W387">
        <v>0</v>
      </c>
      <c r="X387">
        <v>2015</v>
      </c>
      <c r="Y387">
        <v>7</v>
      </c>
      <c r="Z387" t="s">
        <v>217</v>
      </c>
    </row>
    <row r="388" spans="1:26" x14ac:dyDescent="0.35">
      <c r="A388">
        <v>5898</v>
      </c>
      <c r="B388" t="s">
        <v>2232</v>
      </c>
      <c r="C388" s="1">
        <v>42433</v>
      </c>
      <c r="D388" s="1">
        <v>42617</v>
      </c>
      <c r="E388">
        <v>184</v>
      </c>
      <c r="F388" t="s">
        <v>2233</v>
      </c>
      <c r="G388" t="s">
        <v>2234</v>
      </c>
      <c r="H388" t="s">
        <v>29</v>
      </c>
      <c r="I388" t="s">
        <v>44</v>
      </c>
      <c r="J388" t="s">
        <v>31</v>
      </c>
      <c r="K388" t="s">
        <v>536</v>
      </c>
      <c r="L388" t="s">
        <v>382</v>
      </c>
      <c r="M388" t="s">
        <v>61</v>
      </c>
      <c r="N388" t="s">
        <v>799</v>
      </c>
      <c r="O388" t="s">
        <v>2235</v>
      </c>
      <c r="P388" t="s">
        <v>37</v>
      </c>
      <c r="Q388" t="s">
        <v>129</v>
      </c>
      <c r="R388" t="s">
        <v>2236</v>
      </c>
      <c r="S388">
        <v>71.12</v>
      </c>
      <c r="T388">
        <v>22.0472</v>
      </c>
      <c r="U388">
        <v>0.31</v>
      </c>
      <c r="V388">
        <v>4</v>
      </c>
      <c r="W388">
        <v>0</v>
      </c>
      <c r="X388">
        <v>2016</v>
      </c>
      <c r="Y388">
        <v>3</v>
      </c>
      <c r="Z388" t="s">
        <v>103</v>
      </c>
    </row>
    <row r="389" spans="1:26" x14ac:dyDescent="0.35">
      <c r="A389">
        <v>5930</v>
      </c>
      <c r="B389" t="s">
        <v>2237</v>
      </c>
      <c r="C389" s="1">
        <v>42923</v>
      </c>
      <c r="D389" s="1">
        <v>42985</v>
      </c>
      <c r="E389">
        <v>62</v>
      </c>
      <c r="F389" t="s">
        <v>2238</v>
      </c>
      <c r="G389" t="s">
        <v>2239</v>
      </c>
      <c r="H389" t="s">
        <v>29</v>
      </c>
      <c r="I389" t="s">
        <v>58</v>
      </c>
      <c r="J389" t="s">
        <v>31</v>
      </c>
      <c r="K389" t="s">
        <v>189</v>
      </c>
      <c r="L389" t="s">
        <v>190</v>
      </c>
      <c r="M389" t="s">
        <v>126</v>
      </c>
      <c r="N389" t="s">
        <v>1441</v>
      </c>
      <c r="O389" t="s">
        <v>2240</v>
      </c>
      <c r="P389" t="s">
        <v>37</v>
      </c>
      <c r="Q389" t="s">
        <v>38</v>
      </c>
      <c r="R389" t="s">
        <v>2241</v>
      </c>
      <c r="S389">
        <v>87.21</v>
      </c>
      <c r="T389">
        <v>-45.349200000000003</v>
      </c>
      <c r="U389">
        <v>-0.52000000000000013</v>
      </c>
      <c r="V389">
        <v>3</v>
      </c>
      <c r="W389">
        <v>0.5</v>
      </c>
      <c r="X389">
        <v>2017</v>
      </c>
      <c r="Y389">
        <v>7</v>
      </c>
      <c r="Z389" t="s">
        <v>217</v>
      </c>
    </row>
    <row r="390" spans="1:26" x14ac:dyDescent="0.35">
      <c r="A390">
        <v>6016</v>
      </c>
      <c r="B390" t="s">
        <v>2242</v>
      </c>
      <c r="C390" s="1">
        <v>41794</v>
      </c>
      <c r="D390" s="1">
        <v>41977</v>
      </c>
      <c r="E390">
        <v>183</v>
      </c>
      <c r="F390" t="s">
        <v>2243</v>
      </c>
      <c r="G390" t="s">
        <v>2244</v>
      </c>
      <c r="H390" t="s">
        <v>57</v>
      </c>
      <c r="I390" t="s">
        <v>44</v>
      </c>
      <c r="J390" t="s">
        <v>31</v>
      </c>
      <c r="K390" t="s">
        <v>205</v>
      </c>
      <c r="L390" t="s">
        <v>206</v>
      </c>
      <c r="M390" t="s">
        <v>47</v>
      </c>
      <c r="N390" t="s">
        <v>949</v>
      </c>
      <c r="O390" t="s">
        <v>2245</v>
      </c>
      <c r="P390" t="s">
        <v>37</v>
      </c>
      <c r="Q390" t="s">
        <v>129</v>
      </c>
      <c r="R390" t="s">
        <v>2246</v>
      </c>
      <c r="S390">
        <v>91.96</v>
      </c>
      <c r="T390">
        <v>15.6332</v>
      </c>
      <c r="U390">
        <v>0.17</v>
      </c>
      <c r="V390">
        <v>2</v>
      </c>
      <c r="W390">
        <v>0</v>
      </c>
      <c r="X390">
        <v>2014</v>
      </c>
      <c r="Y390">
        <v>6</v>
      </c>
      <c r="Z390" t="s">
        <v>120</v>
      </c>
    </row>
    <row r="391" spans="1:26" x14ac:dyDescent="0.35">
      <c r="A391">
        <v>6031</v>
      </c>
      <c r="B391" t="s">
        <v>2247</v>
      </c>
      <c r="C391" s="1">
        <v>42893</v>
      </c>
      <c r="D391" s="1">
        <v>42893</v>
      </c>
      <c r="E391">
        <v>0</v>
      </c>
      <c r="F391" t="s">
        <v>2248</v>
      </c>
      <c r="G391" t="s">
        <v>2249</v>
      </c>
      <c r="H391" t="s">
        <v>29</v>
      </c>
      <c r="I391" t="s">
        <v>543</v>
      </c>
      <c r="J391" t="s">
        <v>31</v>
      </c>
      <c r="K391" t="s">
        <v>272</v>
      </c>
      <c r="L391" t="s">
        <v>2250</v>
      </c>
      <c r="M391" t="s">
        <v>34</v>
      </c>
      <c r="N391" t="s">
        <v>2251</v>
      </c>
      <c r="O391" t="s">
        <v>2252</v>
      </c>
      <c r="P391" t="s">
        <v>37</v>
      </c>
      <c r="Q391" t="s">
        <v>320</v>
      </c>
      <c r="R391" t="s">
        <v>2253</v>
      </c>
      <c r="S391">
        <v>239.24</v>
      </c>
      <c r="T391">
        <v>23.923999999999999</v>
      </c>
      <c r="U391">
        <v>9.9999999999999992E-2</v>
      </c>
      <c r="V391">
        <v>1</v>
      </c>
      <c r="W391">
        <v>0.2</v>
      </c>
      <c r="X391">
        <v>2017</v>
      </c>
      <c r="Y391">
        <v>6</v>
      </c>
      <c r="Z391" t="s">
        <v>120</v>
      </c>
    </row>
    <row r="392" spans="1:26" x14ac:dyDescent="0.35">
      <c r="A392">
        <v>6043</v>
      </c>
      <c r="B392" t="s">
        <v>2254</v>
      </c>
      <c r="C392" s="1">
        <v>42462</v>
      </c>
      <c r="D392" s="1">
        <v>42584</v>
      </c>
      <c r="E392">
        <v>122</v>
      </c>
      <c r="F392" t="s">
        <v>2255</v>
      </c>
      <c r="G392" t="s">
        <v>2256</v>
      </c>
      <c r="H392" t="s">
        <v>29</v>
      </c>
      <c r="I392" t="s">
        <v>44</v>
      </c>
      <c r="J392" t="s">
        <v>31</v>
      </c>
      <c r="K392" t="s">
        <v>70</v>
      </c>
      <c r="L392" t="s">
        <v>521</v>
      </c>
      <c r="M392" t="s">
        <v>47</v>
      </c>
      <c r="N392" t="s">
        <v>522</v>
      </c>
      <c r="O392" t="s">
        <v>2257</v>
      </c>
      <c r="P392" t="s">
        <v>37</v>
      </c>
      <c r="Q392" t="s">
        <v>129</v>
      </c>
      <c r="R392" t="s">
        <v>2258</v>
      </c>
      <c r="S392">
        <v>14.368</v>
      </c>
      <c r="T392">
        <v>3.9512</v>
      </c>
      <c r="U392">
        <v>0.27500000000000002</v>
      </c>
      <c r="V392">
        <v>2</v>
      </c>
      <c r="W392">
        <v>0.2</v>
      </c>
      <c r="X392">
        <v>2016</v>
      </c>
      <c r="Y392">
        <v>4</v>
      </c>
      <c r="Z392" t="s">
        <v>85</v>
      </c>
    </row>
    <row r="393" spans="1:26" x14ac:dyDescent="0.35">
      <c r="A393">
        <v>6081</v>
      </c>
      <c r="B393" t="s">
        <v>2259</v>
      </c>
      <c r="C393" s="1">
        <v>42863</v>
      </c>
      <c r="D393" s="1">
        <v>42955</v>
      </c>
      <c r="E393">
        <v>92</v>
      </c>
      <c r="F393" t="s">
        <v>1646</v>
      </c>
      <c r="G393" t="s">
        <v>1647</v>
      </c>
      <c r="H393" t="s">
        <v>107</v>
      </c>
      <c r="I393" t="s">
        <v>58</v>
      </c>
      <c r="J393" t="s">
        <v>31</v>
      </c>
      <c r="K393" t="s">
        <v>59</v>
      </c>
      <c r="L393" t="s">
        <v>89</v>
      </c>
      <c r="M393" t="s">
        <v>61</v>
      </c>
      <c r="N393" t="s">
        <v>879</v>
      </c>
      <c r="O393" t="s">
        <v>2260</v>
      </c>
      <c r="P393" t="s">
        <v>50</v>
      </c>
      <c r="Q393" t="s">
        <v>110</v>
      </c>
      <c r="R393" t="s">
        <v>2261</v>
      </c>
      <c r="S393">
        <v>151.05600000000001</v>
      </c>
      <c r="T393">
        <v>7.5528000000000004</v>
      </c>
      <c r="U393">
        <v>4.9999999999999996E-2</v>
      </c>
      <c r="V393">
        <v>9</v>
      </c>
      <c r="W393">
        <v>0.2</v>
      </c>
      <c r="X393">
        <v>2017</v>
      </c>
      <c r="Y393">
        <v>5</v>
      </c>
      <c r="Z393" t="s">
        <v>53</v>
      </c>
    </row>
    <row r="394" spans="1:26" x14ac:dyDescent="0.35">
      <c r="A394">
        <v>6151</v>
      </c>
      <c r="B394" t="s">
        <v>2262</v>
      </c>
      <c r="C394" s="1">
        <v>42586</v>
      </c>
      <c r="D394" s="1">
        <v>42678</v>
      </c>
      <c r="E394">
        <v>92</v>
      </c>
      <c r="F394" t="s">
        <v>2263</v>
      </c>
      <c r="G394" t="s">
        <v>2264</v>
      </c>
      <c r="H394" t="s">
        <v>29</v>
      </c>
      <c r="I394" t="s">
        <v>58</v>
      </c>
      <c r="J394" t="s">
        <v>31</v>
      </c>
      <c r="K394" t="s">
        <v>345</v>
      </c>
      <c r="L394" t="s">
        <v>182</v>
      </c>
      <c r="M394" t="s">
        <v>34</v>
      </c>
      <c r="N394" t="s">
        <v>346</v>
      </c>
      <c r="O394" t="s">
        <v>2265</v>
      </c>
      <c r="P394" t="s">
        <v>37</v>
      </c>
      <c r="Q394" t="s">
        <v>38</v>
      </c>
      <c r="R394" t="s">
        <v>2266</v>
      </c>
      <c r="S394">
        <v>354.9</v>
      </c>
      <c r="T394">
        <v>88.724999999999994</v>
      </c>
      <c r="U394">
        <v>0.25</v>
      </c>
      <c r="V394">
        <v>5</v>
      </c>
      <c r="W394">
        <v>0</v>
      </c>
      <c r="X394">
        <v>2016</v>
      </c>
      <c r="Y394">
        <v>8</v>
      </c>
      <c r="Z394" t="s">
        <v>40</v>
      </c>
    </row>
    <row r="395" spans="1:26" x14ac:dyDescent="0.35">
      <c r="A395">
        <v>6153</v>
      </c>
      <c r="B395" t="s">
        <v>2267</v>
      </c>
      <c r="C395" s="1">
        <v>42801</v>
      </c>
      <c r="D395" s="1">
        <v>42954</v>
      </c>
      <c r="E395">
        <v>153</v>
      </c>
      <c r="F395" t="s">
        <v>1126</v>
      </c>
      <c r="G395" t="s">
        <v>1127</v>
      </c>
      <c r="H395" t="s">
        <v>29</v>
      </c>
      <c r="I395" t="s">
        <v>44</v>
      </c>
      <c r="J395" t="s">
        <v>31</v>
      </c>
      <c r="K395" t="s">
        <v>205</v>
      </c>
      <c r="L395" t="s">
        <v>206</v>
      </c>
      <c r="M395" t="s">
        <v>47</v>
      </c>
      <c r="N395" t="s">
        <v>228</v>
      </c>
      <c r="O395" t="s">
        <v>2268</v>
      </c>
      <c r="P395" t="s">
        <v>50</v>
      </c>
      <c r="Q395" t="s">
        <v>110</v>
      </c>
      <c r="R395" t="s">
        <v>2269</v>
      </c>
      <c r="S395">
        <v>87.92</v>
      </c>
      <c r="T395">
        <v>0.87919999999999998</v>
      </c>
      <c r="U395">
        <v>0.01</v>
      </c>
      <c r="V395">
        <v>4</v>
      </c>
      <c r="W395">
        <v>0</v>
      </c>
      <c r="X395">
        <v>2017</v>
      </c>
      <c r="Y395">
        <v>3</v>
      </c>
      <c r="Z395" t="s">
        <v>103</v>
      </c>
    </row>
    <row r="396" spans="1:26" x14ac:dyDescent="0.35">
      <c r="A396">
        <v>6160</v>
      </c>
      <c r="B396" t="s">
        <v>2270</v>
      </c>
      <c r="C396" s="1">
        <v>42441</v>
      </c>
      <c r="D396" s="1">
        <v>42625</v>
      </c>
      <c r="E396">
        <v>184</v>
      </c>
      <c r="F396" t="s">
        <v>2271</v>
      </c>
      <c r="G396" t="s">
        <v>2272</v>
      </c>
      <c r="H396" t="s">
        <v>29</v>
      </c>
      <c r="I396" t="s">
        <v>44</v>
      </c>
      <c r="J396" t="s">
        <v>31</v>
      </c>
      <c r="K396" t="s">
        <v>205</v>
      </c>
      <c r="L396" t="s">
        <v>206</v>
      </c>
      <c r="M396" t="s">
        <v>47</v>
      </c>
      <c r="N396" t="s">
        <v>949</v>
      </c>
      <c r="O396" t="s">
        <v>2273</v>
      </c>
      <c r="P396" t="s">
        <v>50</v>
      </c>
      <c r="Q396" t="s">
        <v>110</v>
      </c>
      <c r="R396" t="s">
        <v>2274</v>
      </c>
      <c r="S396">
        <v>772.68</v>
      </c>
      <c r="T396">
        <v>108.1752</v>
      </c>
      <c r="U396">
        <v>0.14000000000000001</v>
      </c>
      <c r="V396">
        <v>4</v>
      </c>
      <c r="W396">
        <v>0</v>
      </c>
      <c r="X396">
        <v>2016</v>
      </c>
      <c r="Y396">
        <v>3</v>
      </c>
      <c r="Z396" t="s">
        <v>103</v>
      </c>
    </row>
    <row r="397" spans="1:26" x14ac:dyDescent="0.35">
      <c r="A397">
        <v>6173</v>
      </c>
      <c r="B397" t="s">
        <v>2275</v>
      </c>
      <c r="C397" s="1">
        <v>41678</v>
      </c>
      <c r="D397" s="1">
        <v>41859</v>
      </c>
      <c r="E397">
        <v>181</v>
      </c>
      <c r="F397" t="s">
        <v>1646</v>
      </c>
      <c r="G397" t="s">
        <v>1647</v>
      </c>
      <c r="H397" t="s">
        <v>107</v>
      </c>
      <c r="I397" t="s">
        <v>44</v>
      </c>
      <c r="J397" t="s">
        <v>31</v>
      </c>
      <c r="K397" t="s">
        <v>2276</v>
      </c>
      <c r="L397" t="s">
        <v>80</v>
      </c>
      <c r="M397" t="s">
        <v>61</v>
      </c>
      <c r="N397" t="s">
        <v>2277</v>
      </c>
      <c r="O397" t="s">
        <v>2278</v>
      </c>
      <c r="P397" t="s">
        <v>50</v>
      </c>
      <c r="Q397" t="s">
        <v>51</v>
      </c>
      <c r="R397" t="s">
        <v>2279</v>
      </c>
      <c r="S397">
        <v>26.7</v>
      </c>
      <c r="T397">
        <v>12.548999999999999</v>
      </c>
      <c r="U397">
        <v>0.47</v>
      </c>
      <c r="V397">
        <v>5</v>
      </c>
      <c r="W397">
        <v>0</v>
      </c>
      <c r="X397">
        <v>2014</v>
      </c>
      <c r="Y397">
        <v>2</v>
      </c>
      <c r="Z397" t="s">
        <v>162</v>
      </c>
    </row>
    <row r="398" spans="1:26" x14ac:dyDescent="0.35">
      <c r="A398">
        <v>6226</v>
      </c>
      <c r="B398" t="s">
        <v>2280</v>
      </c>
      <c r="C398" s="1">
        <v>42134</v>
      </c>
      <c r="D398" s="1">
        <v>42257</v>
      </c>
      <c r="E398">
        <v>123</v>
      </c>
      <c r="F398" t="s">
        <v>483</v>
      </c>
      <c r="G398" t="s">
        <v>484</v>
      </c>
      <c r="H398" t="s">
        <v>29</v>
      </c>
      <c r="I398" t="s">
        <v>44</v>
      </c>
      <c r="J398" t="s">
        <v>31</v>
      </c>
      <c r="K398" t="s">
        <v>115</v>
      </c>
      <c r="L398" t="s">
        <v>116</v>
      </c>
      <c r="M398" t="s">
        <v>47</v>
      </c>
      <c r="N398" t="s">
        <v>117</v>
      </c>
      <c r="O398" t="s">
        <v>2281</v>
      </c>
      <c r="P398" t="s">
        <v>37</v>
      </c>
      <c r="Q398" t="s">
        <v>38</v>
      </c>
      <c r="R398" t="s">
        <v>2282</v>
      </c>
      <c r="S398">
        <v>66.293999999999997</v>
      </c>
      <c r="T398">
        <v>-103.86060000000001</v>
      </c>
      <c r="U398">
        <v>-1.5666666666666669</v>
      </c>
      <c r="V398">
        <v>1</v>
      </c>
      <c r="W398">
        <v>0.7</v>
      </c>
      <c r="X398">
        <v>2015</v>
      </c>
      <c r="Y398">
        <v>5</v>
      </c>
      <c r="Z398" t="s">
        <v>53</v>
      </c>
    </row>
    <row r="399" spans="1:26" x14ac:dyDescent="0.35">
      <c r="A399">
        <v>6258</v>
      </c>
      <c r="B399" t="s">
        <v>2283</v>
      </c>
      <c r="C399" s="1">
        <v>42777</v>
      </c>
      <c r="D399" s="1">
        <v>42897</v>
      </c>
      <c r="E399">
        <v>120</v>
      </c>
      <c r="F399" t="s">
        <v>2284</v>
      </c>
      <c r="G399" t="s">
        <v>2285</v>
      </c>
      <c r="H399" t="s">
        <v>57</v>
      </c>
      <c r="I399" t="s">
        <v>30</v>
      </c>
      <c r="J399" t="s">
        <v>31</v>
      </c>
      <c r="K399" t="s">
        <v>181</v>
      </c>
      <c r="L399" t="s">
        <v>182</v>
      </c>
      <c r="M399" t="s">
        <v>126</v>
      </c>
      <c r="N399" t="s">
        <v>183</v>
      </c>
      <c r="O399" t="s">
        <v>2286</v>
      </c>
      <c r="P399" t="s">
        <v>50</v>
      </c>
      <c r="Q399" t="s">
        <v>531</v>
      </c>
      <c r="R399" t="s">
        <v>2287</v>
      </c>
      <c r="S399">
        <v>384.59199999999998</v>
      </c>
      <c r="T399">
        <v>-81.725800000000007</v>
      </c>
      <c r="U399">
        <v>-0.21250000000000002</v>
      </c>
      <c r="V399">
        <v>2</v>
      </c>
      <c r="W399">
        <v>0.2</v>
      </c>
      <c r="X399">
        <v>2017</v>
      </c>
      <c r="Y399">
        <v>2</v>
      </c>
      <c r="Z399" t="s">
        <v>162</v>
      </c>
    </row>
    <row r="400" spans="1:26" x14ac:dyDescent="0.35">
      <c r="A400">
        <v>6266</v>
      </c>
      <c r="B400" t="s">
        <v>2288</v>
      </c>
      <c r="C400" s="1">
        <v>41709</v>
      </c>
      <c r="D400" s="1">
        <v>41862</v>
      </c>
      <c r="E400">
        <v>153</v>
      </c>
      <c r="F400" t="s">
        <v>2289</v>
      </c>
      <c r="G400" t="s">
        <v>2290</v>
      </c>
      <c r="H400" t="s">
        <v>29</v>
      </c>
      <c r="I400" t="s">
        <v>44</v>
      </c>
      <c r="J400" t="s">
        <v>31</v>
      </c>
      <c r="K400" t="s">
        <v>166</v>
      </c>
      <c r="L400" t="s">
        <v>2291</v>
      </c>
      <c r="M400" t="s">
        <v>34</v>
      </c>
      <c r="N400" t="s">
        <v>2292</v>
      </c>
      <c r="O400" t="s">
        <v>2293</v>
      </c>
      <c r="P400" t="s">
        <v>50</v>
      </c>
      <c r="Q400" t="s">
        <v>83</v>
      </c>
      <c r="R400" t="s">
        <v>2294</v>
      </c>
      <c r="S400">
        <v>3.488</v>
      </c>
      <c r="T400">
        <v>1.1772</v>
      </c>
      <c r="U400">
        <v>0.33750000000000002</v>
      </c>
      <c r="V400">
        <v>2</v>
      </c>
      <c r="W400">
        <v>0.2</v>
      </c>
      <c r="X400">
        <v>2014</v>
      </c>
      <c r="Y400">
        <v>3</v>
      </c>
      <c r="Z400" t="s">
        <v>103</v>
      </c>
    </row>
    <row r="401" spans="1:26" x14ac:dyDescent="0.35">
      <c r="A401">
        <v>6288</v>
      </c>
      <c r="B401" t="s">
        <v>2295</v>
      </c>
      <c r="C401" s="1">
        <v>41858</v>
      </c>
      <c r="D401" s="1">
        <v>41980</v>
      </c>
      <c r="E401">
        <v>122</v>
      </c>
      <c r="F401" t="s">
        <v>639</v>
      </c>
      <c r="G401" t="s">
        <v>640</v>
      </c>
      <c r="H401" t="s">
        <v>57</v>
      </c>
      <c r="I401" t="s">
        <v>44</v>
      </c>
      <c r="J401" t="s">
        <v>31</v>
      </c>
      <c r="K401" t="s">
        <v>205</v>
      </c>
      <c r="L401" t="s">
        <v>371</v>
      </c>
      <c r="M401" t="s">
        <v>47</v>
      </c>
      <c r="N401" t="s">
        <v>691</v>
      </c>
      <c r="O401" t="s">
        <v>2296</v>
      </c>
      <c r="P401" t="s">
        <v>37</v>
      </c>
      <c r="Q401" t="s">
        <v>160</v>
      </c>
      <c r="R401" t="s">
        <v>2297</v>
      </c>
      <c r="S401">
        <v>502.488</v>
      </c>
      <c r="T401">
        <v>-87.935400000000001</v>
      </c>
      <c r="U401">
        <v>-0.17500000000000002</v>
      </c>
      <c r="V401">
        <v>3</v>
      </c>
      <c r="W401">
        <v>0.2</v>
      </c>
      <c r="X401">
        <v>2014</v>
      </c>
      <c r="Y401">
        <v>8</v>
      </c>
      <c r="Z401" t="s">
        <v>40</v>
      </c>
    </row>
    <row r="402" spans="1:26" x14ac:dyDescent="0.35">
      <c r="A402">
        <v>6306</v>
      </c>
      <c r="B402" t="s">
        <v>2298</v>
      </c>
      <c r="C402" s="1">
        <v>42471</v>
      </c>
      <c r="D402" s="1">
        <v>42532</v>
      </c>
      <c r="E402">
        <v>61</v>
      </c>
      <c r="F402" t="s">
        <v>2299</v>
      </c>
      <c r="G402" t="s">
        <v>2300</v>
      </c>
      <c r="H402" t="s">
        <v>57</v>
      </c>
      <c r="I402" t="s">
        <v>30</v>
      </c>
      <c r="J402" t="s">
        <v>31</v>
      </c>
      <c r="K402" t="s">
        <v>115</v>
      </c>
      <c r="L402" t="s">
        <v>2301</v>
      </c>
      <c r="M402" t="s">
        <v>47</v>
      </c>
      <c r="N402" t="s">
        <v>2302</v>
      </c>
      <c r="O402" t="s">
        <v>2303</v>
      </c>
      <c r="P402" t="s">
        <v>50</v>
      </c>
      <c r="Q402" t="s">
        <v>531</v>
      </c>
      <c r="R402" t="s">
        <v>2304</v>
      </c>
      <c r="S402">
        <v>17.584</v>
      </c>
      <c r="T402">
        <v>-4.1761999999999997</v>
      </c>
      <c r="U402">
        <v>-0.23749999999999999</v>
      </c>
      <c r="V402">
        <v>7</v>
      </c>
      <c r="W402">
        <v>0.2</v>
      </c>
      <c r="X402">
        <v>2016</v>
      </c>
      <c r="Y402">
        <v>4</v>
      </c>
      <c r="Z402" t="s">
        <v>85</v>
      </c>
    </row>
    <row r="403" spans="1:26" x14ac:dyDescent="0.35">
      <c r="A403">
        <v>6339</v>
      </c>
      <c r="B403" t="s">
        <v>2305</v>
      </c>
      <c r="C403" s="1">
        <v>42865</v>
      </c>
      <c r="D403" s="1">
        <v>42988</v>
      </c>
      <c r="E403">
        <v>123</v>
      </c>
      <c r="F403" t="s">
        <v>2306</v>
      </c>
      <c r="G403" t="s">
        <v>2307</v>
      </c>
      <c r="H403" t="s">
        <v>57</v>
      </c>
      <c r="I403" t="s">
        <v>44</v>
      </c>
      <c r="J403" t="s">
        <v>31</v>
      </c>
      <c r="K403" t="s">
        <v>124</v>
      </c>
      <c r="L403" t="s">
        <v>125</v>
      </c>
      <c r="M403" t="s">
        <v>126</v>
      </c>
      <c r="N403" t="s">
        <v>667</v>
      </c>
      <c r="O403" t="s">
        <v>2308</v>
      </c>
      <c r="P403" t="s">
        <v>64</v>
      </c>
      <c r="Q403" t="s">
        <v>65</v>
      </c>
      <c r="R403" t="s">
        <v>2309</v>
      </c>
      <c r="S403">
        <v>87.8</v>
      </c>
      <c r="T403">
        <v>43.9</v>
      </c>
      <c r="U403">
        <v>0.5</v>
      </c>
      <c r="V403">
        <v>4</v>
      </c>
      <c r="W403">
        <v>0</v>
      </c>
      <c r="X403">
        <v>2017</v>
      </c>
      <c r="Y403">
        <v>5</v>
      </c>
      <c r="Z403" t="s">
        <v>53</v>
      </c>
    </row>
    <row r="404" spans="1:26" x14ac:dyDescent="0.35">
      <c r="A404">
        <v>6351</v>
      </c>
      <c r="B404" t="s">
        <v>2310</v>
      </c>
      <c r="C404" s="1">
        <v>42803</v>
      </c>
      <c r="D404" s="1">
        <v>42956</v>
      </c>
      <c r="E404">
        <v>153</v>
      </c>
      <c r="F404" t="s">
        <v>1176</v>
      </c>
      <c r="G404" t="s">
        <v>1177</v>
      </c>
      <c r="H404" t="s">
        <v>29</v>
      </c>
      <c r="I404" t="s">
        <v>44</v>
      </c>
      <c r="J404" t="s">
        <v>31</v>
      </c>
      <c r="K404" t="s">
        <v>59</v>
      </c>
      <c r="L404" t="s">
        <v>528</v>
      </c>
      <c r="M404" t="s">
        <v>61</v>
      </c>
      <c r="N404" t="s">
        <v>2109</v>
      </c>
      <c r="O404" t="s">
        <v>2311</v>
      </c>
      <c r="P404" t="s">
        <v>37</v>
      </c>
      <c r="Q404" t="s">
        <v>129</v>
      </c>
      <c r="R404" t="s">
        <v>2312</v>
      </c>
      <c r="S404">
        <v>108.4</v>
      </c>
      <c r="T404">
        <v>-105.69</v>
      </c>
      <c r="U404">
        <v>-0.97499999999999998</v>
      </c>
      <c r="V404">
        <v>5</v>
      </c>
      <c r="W404">
        <v>0.6</v>
      </c>
      <c r="X404">
        <v>2017</v>
      </c>
      <c r="Y404">
        <v>3</v>
      </c>
      <c r="Z404" t="s">
        <v>103</v>
      </c>
    </row>
    <row r="405" spans="1:26" x14ac:dyDescent="0.35">
      <c r="A405">
        <v>6366</v>
      </c>
      <c r="B405" t="s">
        <v>2313</v>
      </c>
      <c r="C405" s="1">
        <v>42829</v>
      </c>
      <c r="D405" s="1">
        <v>42859</v>
      </c>
      <c r="E405">
        <v>30</v>
      </c>
      <c r="F405" t="s">
        <v>2314</v>
      </c>
      <c r="G405" t="s">
        <v>2315</v>
      </c>
      <c r="H405" t="s">
        <v>107</v>
      </c>
      <c r="I405" t="s">
        <v>58</v>
      </c>
      <c r="J405" t="s">
        <v>31</v>
      </c>
      <c r="K405" t="s">
        <v>124</v>
      </c>
      <c r="L405" t="s">
        <v>125</v>
      </c>
      <c r="M405" t="s">
        <v>126</v>
      </c>
      <c r="N405" t="s">
        <v>127</v>
      </c>
      <c r="O405" t="s">
        <v>2316</v>
      </c>
      <c r="P405" t="s">
        <v>64</v>
      </c>
      <c r="Q405" t="s">
        <v>65</v>
      </c>
      <c r="R405" t="s">
        <v>2317</v>
      </c>
      <c r="S405">
        <v>41.22</v>
      </c>
      <c r="T405">
        <v>11.1294</v>
      </c>
      <c r="U405">
        <v>0.27</v>
      </c>
      <c r="V405">
        <v>1</v>
      </c>
      <c r="W405">
        <v>0</v>
      </c>
      <c r="X405">
        <v>2017</v>
      </c>
      <c r="Y405">
        <v>4</v>
      </c>
      <c r="Z405" t="s">
        <v>85</v>
      </c>
    </row>
    <row r="406" spans="1:26" x14ac:dyDescent="0.35">
      <c r="A406">
        <v>6370</v>
      </c>
      <c r="B406" t="s">
        <v>2318</v>
      </c>
      <c r="C406" s="1">
        <v>42439</v>
      </c>
      <c r="D406" s="1">
        <v>42561</v>
      </c>
      <c r="E406">
        <v>122</v>
      </c>
      <c r="F406" t="s">
        <v>2299</v>
      </c>
      <c r="G406" t="s">
        <v>2300</v>
      </c>
      <c r="H406" t="s">
        <v>57</v>
      </c>
      <c r="I406" t="s">
        <v>44</v>
      </c>
      <c r="J406" t="s">
        <v>31</v>
      </c>
      <c r="K406" t="s">
        <v>59</v>
      </c>
      <c r="L406" t="s">
        <v>1716</v>
      </c>
      <c r="M406" t="s">
        <v>61</v>
      </c>
      <c r="N406" t="s">
        <v>1717</v>
      </c>
      <c r="O406" t="s">
        <v>2319</v>
      </c>
      <c r="P406" t="s">
        <v>37</v>
      </c>
      <c r="Q406" t="s">
        <v>129</v>
      </c>
      <c r="R406" t="s">
        <v>2320</v>
      </c>
      <c r="S406">
        <v>38.08</v>
      </c>
      <c r="T406">
        <v>-29.512</v>
      </c>
      <c r="U406">
        <v>-0.77500000000000002</v>
      </c>
      <c r="V406">
        <v>5</v>
      </c>
      <c r="W406">
        <v>0.6</v>
      </c>
      <c r="X406">
        <v>2016</v>
      </c>
      <c r="Y406">
        <v>3</v>
      </c>
      <c r="Z406" t="s">
        <v>103</v>
      </c>
    </row>
    <row r="407" spans="1:26" x14ac:dyDescent="0.35">
      <c r="A407">
        <v>6399</v>
      </c>
      <c r="B407" t="s">
        <v>2321</v>
      </c>
      <c r="C407" s="1">
        <v>42894</v>
      </c>
      <c r="D407" s="1">
        <v>43077</v>
      </c>
      <c r="E407">
        <v>183</v>
      </c>
      <c r="F407" t="s">
        <v>105</v>
      </c>
      <c r="G407" t="s">
        <v>106</v>
      </c>
      <c r="H407" t="s">
        <v>107</v>
      </c>
      <c r="I407" t="s">
        <v>44</v>
      </c>
      <c r="J407" t="s">
        <v>31</v>
      </c>
      <c r="K407" t="s">
        <v>2322</v>
      </c>
      <c r="L407" t="s">
        <v>2323</v>
      </c>
      <c r="M407" t="s">
        <v>126</v>
      </c>
      <c r="N407" t="s">
        <v>2324</v>
      </c>
      <c r="O407" t="s">
        <v>2325</v>
      </c>
      <c r="P407" t="s">
        <v>64</v>
      </c>
      <c r="Q407" t="s">
        <v>65</v>
      </c>
      <c r="R407" t="s">
        <v>2326</v>
      </c>
      <c r="S407">
        <v>824.95</v>
      </c>
      <c r="T407">
        <v>247.48500000000001</v>
      </c>
      <c r="U407">
        <v>0.3</v>
      </c>
      <c r="V407">
        <v>5</v>
      </c>
      <c r="W407">
        <v>0</v>
      </c>
      <c r="X407">
        <v>2017</v>
      </c>
      <c r="Y407">
        <v>6</v>
      </c>
      <c r="Z407" t="s">
        <v>120</v>
      </c>
    </row>
    <row r="408" spans="1:26" x14ac:dyDescent="0.35">
      <c r="A408">
        <v>6457</v>
      </c>
      <c r="B408" t="s">
        <v>2327</v>
      </c>
      <c r="C408" s="1">
        <v>41767</v>
      </c>
      <c r="D408" s="1">
        <v>41951</v>
      </c>
      <c r="E408">
        <v>184</v>
      </c>
      <c r="F408" t="s">
        <v>2328</v>
      </c>
      <c r="G408" t="s">
        <v>2329</v>
      </c>
      <c r="H408" t="s">
        <v>57</v>
      </c>
      <c r="I408" t="s">
        <v>44</v>
      </c>
      <c r="J408" t="s">
        <v>31</v>
      </c>
      <c r="K408" t="s">
        <v>124</v>
      </c>
      <c r="L408" t="s">
        <v>125</v>
      </c>
      <c r="M408" t="s">
        <v>126</v>
      </c>
      <c r="N408" t="s">
        <v>127</v>
      </c>
      <c r="O408" t="s">
        <v>2330</v>
      </c>
      <c r="P408" t="s">
        <v>64</v>
      </c>
      <c r="Q408" t="s">
        <v>65</v>
      </c>
      <c r="R408" t="s">
        <v>2331</v>
      </c>
      <c r="S408">
        <v>135.99</v>
      </c>
      <c r="T408">
        <v>36.717300000000002</v>
      </c>
      <c r="U408">
        <v>0.27</v>
      </c>
      <c r="V408">
        <v>1</v>
      </c>
      <c r="W408">
        <v>0</v>
      </c>
      <c r="X408">
        <v>2014</v>
      </c>
      <c r="Y408">
        <v>5</v>
      </c>
      <c r="Z408" t="s">
        <v>53</v>
      </c>
    </row>
    <row r="409" spans="1:26" x14ac:dyDescent="0.35">
      <c r="A409">
        <v>6507</v>
      </c>
      <c r="B409" t="s">
        <v>2332</v>
      </c>
      <c r="C409" s="1">
        <v>42623</v>
      </c>
      <c r="D409" s="1">
        <v>42684</v>
      </c>
      <c r="E409">
        <v>61</v>
      </c>
      <c r="F409" t="s">
        <v>2333</v>
      </c>
      <c r="G409" t="s">
        <v>2334</v>
      </c>
      <c r="H409" t="s">
        <v>57</v>
      </c>
      <c r="I409" t="s">
        <v>30</v>
      </c>
      <c r="J409" t="s">
        <v>31</v>
      </c>
      <c r="K409" t="s">
        <v>189</v>
      </c>
      <c r="L409" t="s">
        <v>190</v>
      </c>
      <c r="M409" t="s">
        <v>126</v>
      </c>
      <c r="N409" t="s">
        <v>685</v>
      </c>
      <c r="O409" t="s">
        <v>2335</v>
      </c>
      <c r="P409" t="s">
        <v>50</v>
      </c>
      <c r="Q409" t="s">
        <v>83</v>
      </c>
      <c r="R409" t="s">
        <v>2336</v>
      </c>
      <c r="S409">
        <v>19.135999999999999</v>
      </c>
      <c r="T409">
        <v>5.98</v>
      </c>
      <c r="U409">
        <v>0.31250000000000006</v>
      </c>
      <c r="V409">
        <v>4</v>
      </c>
      <c r="W409">
        <v>0.2</v>
      </c>
      <c r="X409">
        <v>2016</v>
      </c>
      <c r="Y409">
        <v>9</v>
      </c>
      <c r="Z409" t="s">
        <v>93</v>
      </c>
    </row>
    <row r="410" spans="1:26" x14ac:dyDescent="0.35">
      <c r="A410">
        <v>6512</v>
      </c>
      <c r="B410" t="s">
        <v>2337</v>
      </c>
      <c r="C410" s="1">
        <v>42889</v>
      </c>
      <c r="D410" s="1">
        <v>43011</v>
      </c>
      <c r="E410">
        <v>122</v>
      </c>
      <c r="F410" t="s">
        <v>2338</v>
      </c>
      <c r="G410" t="s">
        <v>2339</v>
      </c>
      <c r="H410" t="s">
        <v>107</v>
      </c>
      <c r="I410" t="s">
        <v>44</v>
      </c>
      <c r="J410" t="s">
        <v>31</v>
      </c>
      <c r="K410" t="s">
        <v>205</v>
      </c>
      <c r="L410" t="s">
        <v>371</v>
      </c>
      <c r="M410" t="s">
        <v>47</v>
      </c>
      <c r="N410" t="s">
        <v>921</v>
      </c>
      <c r="O410" t="s">
        <v>2340</v>
      </c>
      <c r="P410" t="s">
        <v>50</v>
      </c>
      <c r="Q410" t="s">
        <v>74</v>
      </c>
      <c r="R410" t="s">
        <v>2341</v>
      </c>
      <c r="S410">
        <v>23.88</v>
      </c>
      <c r="T410">
        <v>8.1191999999999993</v>
      </c>
      <c r="U410">
        <v>0.33999999999999997</v>
      </c>
      <c r="V410">
        <v>6</v>
      </c>
      <c r="W410">
        <v>0</v>
      </c>
      <c r="X410">
        <v>2017</v>
      </c>
      <c r="Y410">
        <v>6</v>
      </c>
      <c r="Z410" t="s">
        <v>120</v>
      </c>
    </row>
    <row r="411" spans="1:26" x14ac:dyDescent="0.35">
      <c r="A411">
        <v>6576</v>
      </c>
      <c r="B411" t="s">
        <v>2342</v>
      </c>
      <c r="C411" s="1">
        <v>42797</v>
      </c>
      <c r="D411" s="1">
        <v>42950</v>
      </c>
      <c r="E411">
        <v>153</v>
      </c>
      <c r="F411" t="s">
        <v>2343</v>
      </c>
      <c r="G411" t="s">
        <v>2344</v>
      </c>
      <c r="H411" t="s">
        <v>29</v>
      </c>
      <c r="I411" t="s">
        <v>44</v>
      </c>
      <c r="J411" t="s">
        <v>31</v>
      </c>
      <c r="K411" t="s">
        <v>205</v>
      </c>
      <c r="L411" t="s">
        <v>206</v>
      </c>
      <c r="M411" t="s">
        <v>47</v>
      </c>
      <c r="N411" t="s">
        <v>491</v>
      </c>
      <c r="O411" t="s">
        <v>2345</v>
      </c>
      <c r="P411" t="s">
        <v>64</v>
      </c>
      <c r="Q411" t="s">
        <v>288</v>
      </c>
      <c r="R411" t="s">
        <v>2346</v>
      </c>
      <c r="S411">
        <v>1049.44</v>
      </c>
      <c r="T411">
        <v>440.76479999999998</v>
      </c>
      <c r="U411">
        <v>0.42</v>
      </c>
      <c r="V411">
        <v>8</v>
      </c>
      <c r="W411">
        <v>0</v>
      </c>
      <c r="X411">
        <v>2017</v>
      </c>
      <c r="Y411">
        <v>3</v>
      </c>
      <c r="Z411" t="s">
        <v>103</v>
      </c>
    </row>
    <row r="412" spans="1:26" x14ac:dyDescent="0.35">
      <c r="A412">
        <v>6578</v>
      </c>
      <c r="B412" t="s">
        <v>2347</v>
      </c>
      <c r="C412" s="1">
        <v>42167</v>
      </c>
      <c r="D412" s="1">
        <v>42320</v>
      </c>
      <c r="E412">
        <v>153</v>
      </c>
      <c r="F412" t="s">
        <v>2348</v>
      </c>
      <c r="G412" t="s">
        <v>2349</v>
      </c>
      <c r="H412" t="s">
        <v>29</v>
      </c>
      <c r="I412" t="s">
        <v>30</v>
      </c>
      <c r="J412" t="s">
        <v>31</v>
      </c>
      <c r="K412" t="s">
        <v>79</v>
      </c>
      <c r="L412" t="s">
        <v>1252</v>
      </c>
      <c r="M412" t="s">
        <v>34</v>
      </c>
      <c r="N412" t="s">
        <v>1897</v>
      </c>
      <c r="O412" t="s">
        <v>2350</v>
      </c>
      <c r="P412" t="s">
        <v>64</v>
      </c>
      <c r="Q412" t="s">
        <v>65</v>
      </c>
      <c r="R412" t="s">
        <v>2351</v>
      </c>
      <c r="S412">
        <v>173.94</v>
      </c>
      <c r="T412">
        <v>50.442599999999999</v>
      </c>
      <c r="U412">
        <v>0.28999999999999998</v>
      </c>
      <c r="V412">
        <v>6</v>
      </c>
      <c r="W412">
        <v>0</v>
      </c>
      <c r="X412">
        <v>2015</v>
      </c>
      <c r="Y412">
        <v>6</v>
      </c>
      <c r="Z412" t="s">
        <v>120</v>
      </c>
    </row>
    <row r="413" spans="1:26" x14ac:dyDescent="0.35">
      <c r="A413">
        <v>6674</v>
      </c>
      <c r="B413" t="s">
        <v>2352</v>
      </c>
      <c r="C413" s="1">
        <v>42133</v>
      </c>
      <c r="D413" s="1">
        <v>42347</v>
      </c>
      <c r="E413">
        <v>214</v>
      </c>
      <c r="F413" t="s">
        <v>2353</v>
      </c>
      <c r="G413" t="s">
        <v>2354</v>
      </c>
      <c r="H413" t="s">
        <v>107</v>
      </c>
      <c r="I413" t="s">
        <v>44</v>
      </c>
      <c r="J413" t="s">
        <v>31</v>
      </c>
      <c r="K413" t="s">
        <v>79</v>
      </c>
      <c r="L413" t="s">
        <v>1221</v>
      </c>
      <c r="M413" t="s">
        <v>34</v>
      </c>
      <c r="N413" t="s">
        <v>1222</v>
      </c>
      <c r="O413" t="s">
        <v>2355</v>
      </c>
      <c r="P413" t="s">
        <v>37</v>
      </c>
      <c r="Q413" t="s">
        <v>129</v>
      </c>
      <c r="R413" t="s">
        <v>2356</v>
      </c>
      <c r="S413">
        <v>67.959999999999994</v>
      </c>
      <c r="T413">
        <v>12.232799999999999</v>
      </c>
      <c r="U413">
        <v>0.18</v>
      </c>
      <c r="V413">
        <v>4</v>
      </c>
      <c r="W413">
        <v>0</v>
      </c>
      <c r="X413">
        <v>2015</v>
      </c>
      <c r="Y413">
        <v>5</v>
      </c>
      <c r="Z413" t="s">
        <v>53</v>
      </c>
    </row>
    <row r="414" spans="1:26" x14ac:dyDescent="0.35">
      <c r="A414">
        <v>6864</v>
      </c>
      <c r="B414" t="s">
        <v>2357</v>
      </c>
      <c r="C414" s="1">
        <v>42747</v>
      </c>
      <c r="D414" s="1">
        <v>42959</v>
      </c>
      <c r="E414">
        <v>212</v>
      </c>
      <c r="F414" t="s">
        <v>1466</v>
      </c>
      <c r="G414" t="s">
        <v>1467</v>
      </c>
      <c r="H414" t="s">
        <v>57</v>
      </c>
      <c r="I414" t="s">
        <v>44</v>
      </c>
      <c r="J414" t="s">
        <v>31</v>
      </c>
      <c r="K414" t="s">
        <v>59</v>
      </c>
      <c r="L414" t="s">
        <v>221</v>
      </c>
      <c r="M414" t="s">
        <v>61</v>
      </c>
      <c r="N414" t="s">
        <v>222</v>
      </c>
      <c r="O414" t="s">
        <v>2358</v>
      </c>
      <c r="P414" t="s">
        <v>50</v>
      </c>
      <c r="Q414" t="s">
        <v>83</v>
      </c>
      <c r="R414" t="s">
        <v>2359</v>
      </c>
      <c r="S414">
        <v>10.368</v>
      </c>
      <c r="T414">
        <v>3.6288</v>
      </c>
      <c r="U414">
        <v>0.35</v>
      </c>
      <c r="V414">
        <v>2</v>
      </c>
      <c r="W414">
        <v>0.2</v>
      </c>
      <c r="X414">
        <v>2017</v>
      </c>
      <c r="Y414">
        <v>1</v>
      </c>
      <c r="Z414" t="s">
        <v>147</v>
      </c>
    </row>
    <row r="415" spans="1:26" x14ac:dyDescent="0.35">
      <c r="A415">
        <v>6906</v>
      </c>
      <c r="B415" t="s">
        <v>2360</v>
      </c>
      <c r="C415" s="1">
        <v>42898</v>
      </c>
      <c r="D415" s="1">
        <v>42959</v>
      </c>
      <c r="E415">
        <v>61</v>
      </c>
      <c r="F415" t="s">
        <v>2361</v>
      </c>
      <c r="G415" t="s">
        <v>2362</v>
      </c>
      <c r="H415" t="s">
        <v>57</v>
      </c>
      <c r="I415" t="s">
        <v>30</v>
      </c>
      <c r="J415" t="s">
        <v>31</v>
      </c>
      <c r="K415" t="s">
        <v>205</v>
      </c>
      <c r="L415" t="s">
        <v>1314</v>
      </c>
      <c r="M415" t="s">
        <v>47</v>
      </c>
      <c r="N415" t="s">
        <v>1315</v>
      </c>
      <c r="O415" t="s">
        <v>2363</v>
      </c>
      <c r="P415" t="s">
        <v>50</v>
      </c>
      <c r="Q415" t="s">
        <v>110</v>
      </c>
      <c r="R415" t="s">
        <v>1248</v>
      </c>
      <c r="S415">
        <v>10.68</v>
      </c>
      <c r="T415">
        <v>2.8835999999999999</v>
      </c>
      <c r="U415">
        <v>0.27</v>
      </c>
      <c r="V415">
        <v>1</v>
      </c>
      <c r="W415">
        <v>0</v>
      </c>
      <c r="X415">
        <v>2017</v>
      </c>
      <c r="Y415">
        <v>6</v>
      </c>
      <c r="Z415" t="s">
        <v>120</v>
      </c>
    </row>
    <row r="416" spans="1:26" x14ac:dyDescent="0.35">
      <c r="A416">
        <v>6937</v>
      </c>
      <c r="B416" t="s">
        <v>2364</v>
      </c>
      <c r="C416" s="1">
        <v>42409</v>
      </c>
      <c r="D416" s="1">
        <v>42469</v>
      </c>
      <c r="E416">
        <v>60</v>
      </c>
      <c r="F416" t="s">
        <v>2365</v>
      </c>
      <c r="G416" t="s">
        <v>2366</v>
      </c>
      <c r="H416" t="s">
        <v>107</v>
      </c>
      <c r="I416" t="s">
        <v>58</v>
      </c>
      <c r="J416" t="s">
        <v>31</v>
      </c>
      <c r="K416" t="s">
        <v>234</v>
      </c>
      <c r="L416" t="s">
        <v>280</v>
      </c>
      <c r="M416" t="s">
        <v>61</v>
      </c>
      <c r="N416" t="s">
        <v>448</v>
      </c>
      <c r="O416" t="s">
        <v>2367</v>
      </c>
      <c r="P416" t="s">
        <v>37</v>
      </c>
      <c r="Q416" t="s">
        <v>129</v>
      </c>
      <c r="R416" t="s">
        <v>2368</v>
      </c>
      <c r="S416">
        <v>84.272000000000006</v>
      </c>
      <c r="T416">
        <v>-75.844800000000006</v>
      </c>
      <c r="U416">
        <v>-0.9</v>
      </c>
      <c r="V416">
        <v>2</v>
      </c>
      <c r="W416">
        <v>0.6</v>
      </c>
      <c r="X416">
        <v>2016</v>
      </c>
      <c r="Y416">
        <v>2</v>
      </c>
      <c r="Z416" t="s">
        <v>162</v>
      </c>
    </row>
    <row r="417" spans="1:26" x14ac:dyDescent="0.35">
      <c r="A417">
        <v>6939</v>
      </c>
      <c r="B417" t="s">
        <v>2369</v>
      </c>
      <c r="C417" s="1">
        <v>42501</v>
      </c>
      <c r="D417" s="1">
        <v>42624</v>
      </c>
      <c r="E417">
        <v>123</v>
      </c>
      <c r="F417" t="s">
        <v>2370</v>
      </c>
      <c r="G417" t="s">
        <v>2371</v>
      </c>
      <c r="H417" t="s">
        <v>29</v>
      </c>
      <c r="I417" t="s">
        <v>44</v>
      </c>
      <c r="J417" t="s">
        <v>31</v>
      </c>
      <c r="K417" t="s">
        <v>45</v>
      </c>
      <c r="L417" t="s">
        <v>46</v>
      </c>
      <c r="M417" t="s">
        <v>47</v>
      </c>
      <c r="N417" t="s">
        <v>378</v>
      </c>
      <c r="O417" t="s">
        <v>2372</v>
      </c>
      <c r="P417" t="s">
        <v>64</v>
      </c>
      <c r="Q417" t="s">
        <v>288</v>
      </c>
      <c r="R417" t="s">
        <v>2373</v>
      </c>
      <c r="S417">
        <v>479.72</v>
      </c>
      <c r="T417">
        <v>52.769199999999998</v>
      </c>
      <c r="U417">
        <v>0.10999999999999999</v>
      </c>
      <c r="V417">
        <v>4</v>
      </c>
      <c r="W417">
        <v>0</v>
      </c>
      <c r="X417">
        <v>2016</v>
      </c>
      <c r="Y417">
        <v>5</v>
      </c>
      <c r="Z417" t="s">
        <v>53</v>
      </c>
    </row>
    <row r="418" spans="1:26" x14ac:dyDescent="0.35">
      <c r="A418">
        <v>7026</v>
      </c>
      <c r="B418" t="s">
        <v>2374</v>
      </c>
      <c r="C418" s="1">
        <v>42888</v>
      </c>
      <c r="D418" s="1">
        <v>43071</v>
      </c>
      <c r="E418">
        <v>183</v>
      </c>
      <c r="F418" t="s">
        <v>2333</v>
      </c>
      <c r="G418" t="s">
        <v>2334</v>
      </c>
      <c r="H418" t="s">
        <v>57</v>
      </c>
      <c r="I418" t="s">
        <v>44</v>
      </c>
      <c r="J418" t="s">
        <v>31</v>
      </c>
      <c r="K418" t="s">
        <v>124</v>
      </c>
      <c r="L418" t="s">
        <v>125</v>
      </c>
      <c r="M418" t="s">
        <v>126</v>
      </c>
      <c r="N418" t="s">
        <v>305</v>
      </c>
      <c r="O418" t="s">
        <v>2375</v>
      </c>
      <c r="P418" t="s">
        <v>64</v>
      </c>
      <c r="Q418" t="s">
        <v>65</v>
      </c>
      <c r="R418" t="s">
        <v>2376</v>
      </c>
      <c r="S418">
        <v>227.46</v>
      </c>
      <c r="T418">
        <v>65.963399999999993</v>
      </c>
      <c r="U418">
        <v>0.28999999999999998</v>
      </c>
      <c r="V418">
        <v>6</v>
      </c>
      <c r="W418">
        <v>0</v>
      </c>
      <c r="X418">
        <v>2017</v>
      </c>
      <c r="Y418">
        <v>6</v>
      </c>
      <c r="Z418" t="s">
        <v>120</v>
      </c>
    </row>
    <row r="419" spans="1:26" x14ac:dyDescent="0.35">
      <c r="A419">
        <v>7115</v>
      </c>
      <c r="B419" t="s">
        <v>2377</v>
      </c>
      <c r="C419" s="1">
        <v>42495</v>
      </c>
      <c r="D419" s="1">
        <v>42526</v>
      </c>
      <c r="E419">
        <v>31</v>
      </c>
      <c r="F419" t="s">
        <v>971</v>
      </c>
      <c r="G419" t="s">
        <v>972</v>
      </c>
      <c r="H419" t="s">
        <v>57</v>
      </c>
      <c r="I419" t="s">
        <v>58</v>
      </c>
      <c r="J419" t="s">
        <v>31</v>
      </c>
      <c r="K419" t="s">
        <v>2149</v>
      </c>
      <c r="L419" t="s">
        <v>33</v>
      </c>
      <c r="M419" t="s">
        <v>47</v>
      </c>
      <c r="N419" t="s">
        <v>2378</v>
      </c>
      <c r="O419" t="s">
        <v>2379</v>
      </c>
      <c r="P419" t="s">
        <v>37</v>
      </c>
      <c r="Q419" t="s">
        <v>160</v>
      </c>
      <c r="R419" t="s">
        <v>2380</v>
      </c>
      <c r="S419">
        <v>1685.88</v>
      </c>
      <c r="T419">
        <v>320.31720000000001</v>
      </c>
      <c r="U419">
        <v>0.19</v>
      </c>
      <c r="V419">
        <v>6</v>
      </c>
      <c r="W419">
        <v>0</v>
      </c>
      <c r="X419">
        <v>2016</v>
      </c>
      <c r="Y419">
        <v>5</v>
      </c>
      <c r="Z419" t="s">
        <v>53</v>
      </c>
    </row>
    <row r="420" spans="1:26" x14ac:dyDescent="0.35">
      <c r="A420">
        <v>7178</v>
      </c>
      <c r="B420" t="s">
        <v>2381</v>
      </c>
      <c r="C420" s="1">
        <v>42830</v>
      </c>
      <c r="D420" s="1">
        <v>43013</v>
      </c>
      <c r="E420">
        <v>183</v>
      </c>
      <c r="F420" t="s">
        <v>2382</v>
      </c>
      <c r="G420" t="s">
        <v>2383</v>
      </c>
      <c r="H420" t="s">
        <v>57</v>
      </c>
      <c r="I420" t="s">
        <v>44</v>
      </c>
      <c r="J420" t="s">
        <v>31</v>
      </c>
      <c r="K420" t="s">
        <v>189</v>
      </c>
      <c r="L420" t="s">
        <v>190</v>
      </c>
      <c r="M420" t="s">
        <v>126</v>
      </c>
      <c r="N420" t="s">
        <v>191</v>
      </c>
      <c r="O420" t="s">
        <v>2384</v>
      </c>
      <c r="P420" t="s">
        <v>50</v>
      </c>
      <c r="Q420" t="s">
        <v>51</v>
      </c>
      <c r="R420" t="s">
        <v>2385</v>
      </c>
      <c r="S420">
        <v>2.202</v>
      </c>
      <c r="T420">
        <v>-1.5414000000000001</v>
      </c>
      <c r="U420">
        <v>-0.70000000000000007</v>
      </c>
      <c r="V420">
        <v>2</v>
      </c>
      <c r="W420">
        <v>0.7</v>
      </c>
      <c r="X420">
        <v>2017</v>
      </c>
      <c r="Y420">
        <v>4</v>
      </c>
      <c r="Z420" t="s">
        <v>85</v>
      </c>
    </row>
    <row r="421" spans="1:26" x14ac:dyDescent="0.35">
      <c r="A421">
        <v>7211</v>
      </c>
      <c r="B421" t="s">
        <v>2386</v>
      </c>
      <c r="C421" s="1">
        <v>42406</v>
      </c>
      <c r="D421" s="1">
        <v>42527</v>
      </c>
      <c r="E421">
        <v>121</v>
      </c>
      <c r="F421" t="s">
        <v>2387</v>
      </c>
      <c r="G421" t="s">
        <v>2388</v>
      </c>
      <c r="H421" t="s">
        <v>57</v>
      </c>
      <c r="I421" t="s">
        <v>44</v>
      </c>
      <c r="J421" t="s">
        <v>31</v>
      </c>
      <c r="K421" t="s">
        <v>45</v>
      </c>
      <c r="L421" t="s">
        <v>46</v>
      </c>
      <c r="M421" t="s">
        <v>47</v>
      </c>
      <c r="N421" t="s">
        <v>214</v>
      </c>
      <c r="O421" t="s">
        <v>2389</v>
      </c>
      <c r="P421" t="s">
        <v>50</v>
      </c>
      <c r="Q421" t="s">
        <v>83</v>
      </c>
      <c r="R421" t="s">
        <v>2390</v>
      </c>
      <c r="S421">
        <v>30.18</v>
      </c>
      <c r="T421">
        <v>13.8828</v>
      </c>
      <c r="U421">
        <v>0.45999999999999996</v>
      </c>
      <c r="V421">
        <v>3</v>
      </c>
      <c r="W421">
        <v>0</v>
      </c>
      <c r="X421">
        <v>2016</v>
      </c>
      <c r="Y421">
        <v>2</v>
      </c>
      <c r="Z421" t="s">
        <v>162</v>
      </c>
    </row>
    <row r="422" spans="1:26" x14ac:dyDescent="0.35">
      <c r="A422">
        <v>7238</v>
      </c>
      <c r="B422" t="s">
        <v>2391</v>
      </c>
      <c r="C422" s="1">
        <v>42650</v>
      </c>
      <c r="D422" s="1">
        <v>42650</v>
      </c>
      <c r="E422">
        <v>0</v>
      </c>
      <c r="F422" t="s">
        <v>2392</v>
      </c>
      <c r="G422" t="s">
        <v>2393</v>
      </c>
      <c r="H422" t="s">
        <v>57</v>
      </c>
      <c r="I422" t="s">
        <v>543</v>
      </c>
      <c r="J422" t="s">
        <v>31</v>
      </c>
      <c r="K422" t="s">
        <v>189</v>
      </c>
      <c r="L422" t="s">
        <v>190</v>
      </c>
      <c r="M422" t="s">
        <v>126</v>
      </c>
      <c r="N422" t="s">
        <v>685</v>
      </c>
      <c r="O422" t="s">
        <v>2394</v>
      </c>
      <c r="P422" t="s">
        <v>64</v>
      </c>
      <c r="Q422" t="s">
        <v>353</v>
      </c>
      <c r="R422" t="s">
        <v>2395</v>
      </c>
      <c r="S422">
        <v>341.99099999999999</v>
      </c>
      <c r="T422">
        <v>-319.19159999999999</v>
      </c>
      <c r="U422">
        <v>-0.93333333333333335</v>
      </c>
      <c r="V422">
        <v>3</v>
      </c>
      <c r="W422">
        <v>0.7</v>
      </c>
      <c r="X422">
        <v>2016</v>
      </c>
      <c r="Y422">
        <v>10</v>
      </c>
      <c r="Z422" t="s">
        <v>694</v>
      </c>
    </row>
    <row r="423" spans="1:26" x14ac:dyDescent="0.35">
      <c r="A423">
        <v>7250</v>
      </c>
      <c r="B423" t="s">
        <v>2396</v>
      </c>
      <c r="C423" s="1">
        <v>42100</v>
      </c>
      <c r="D423" s="1">
        <v>42253</v>
      </c>
      <c r="E423">
        <v>153</v>
      </c>
      <c r="F423" t="s">
        <v>1664</v>
      </c>
      <c r="G423" t="s">
        <v>1665</v>
      </c>
      <c r="H423" t="s">
        <v>29</v>
      </c>
      <c r="I423" t="s">
        <v>30</v>
      </c>
      <c r="J423" t="s">
        <v>31</v>
      </c>
      <c r="K423" t="s">
        <v>205</v>
      </c>
      <c r="L423" t="s">
        <v>206</v>
      </c>
      <c r="M423" t="s">
        <v>47</v>
      </c>
      <c r="N423" t="s">
        <v>491</v>
      </c>
      <c r="O423" t="s">
        <v>2397</v>
      </c>
      <c r="P423" t="s">
        <v>64</v>
      </c>
      <c r="Q423" t="s">
        <v>288</v>
      </c>
      <c r="R423" t="s">
        <v>2398</v>
      </c>
      <c r="S423">
        <v>119.98</v>
      </c>
      <c r="T423">
        <v>35.994</v>
      </c>
      <c r="U423">
        <v>0.3</v>
      </c>
      <c r="V423">
        <v>2</v>
      </c>
      <c r="W423">
        <v>0</v>
      </c>
      <c r="X423">
        <v>2015</v>
      </c>
      <c r="Y423">
        <v>4</v>
      </c>
      <c r="Z423" t="s">
        <v>85</v>
      </c>
    </row>
    <row r="424" spans="1:26" x14ac:dyDescent="0.35">
      <c r="A424">
        <v>7289</v>
      </c>
      <c r="B424" t="s">
        <v>2399</v>
      </c>
      <c r="C424" s="1">
        <v>41679</v>
      </c>
      <c r="D424" s="1">
        <v>41829</v>
      </c>
      <c r="E424">
        <v>150</v>
      </c>
      <c r="F424" t="s">
        <v>2400</v>
      </c>
      <c r="G424" t="s">
        <v>2401</v>
      </c>
      <c r="H424" t="s">
        <v>57</v>
      </c>
      <c r="I424" t="s">
        <v>44</v>
      </c>
      <c r="J424" t="s">
        <v>31</v>
      </c>
      <c r="K424" t="s">
        <v>59</v>
      </c>
      <c r="L424" t="s">
        <v>89</v>
      </c>
      <c r="M424" t="s">
        <v>61</v>
      </c>
      <c r="N424" t="s">
        <v>108</v>
      </c>
      <c r="O424" t="s">
        <v>2402</v>
      </c>
      <c r="P424" t="s">
        <v>64</v>
      </c>
      <c r="Q424" t="s">
        <v>353</v>
      </c>
      <c r="R424" t="s">
        <v>2403</v>
      </c>
      <c r="S424">
        <v>559.71</v>
      </c>
      <c r="T424">
        <v>-121.2705</v>
      </c>
      <c r="U424">
        <v>-0.21666666666666665</v>
      </c>
      <c r="V424">
        <v>3</v>
      </c>
      <c r="W424">
        <v>0.4</v>
      </c>
      <c r="X424">
        <v>2014</v>
      </c>
      <c r="Y424">
        <v>2</v>
      </c>
      <c r="Z424" t="s">
        <v>162</v>
      </c>
    </row>
    <row r="425" spans="1:26" x14ac:dyDescent="0.35">
      <c r="A425">
        <v>7293</v>
      </c>
      <c r="B425" t="s">
        <v>2404</v>
      </c>
      <c r="C425" s="1">
        <v>42837</v>
      </c>
      <c r="D425" s="1">
        <v>42990</v>
      </c>
      <c r="E425">
        <v>153</v>
      </c>
      <c r="F425" t="s">
        <v>803</v>
      </c>
      <c r="G425" t="s">
        <v>804</v>
      </c>
      <c r="H425" t="s">
        <v>29</v>
      </c>
      <c r="I425" t="s">
        <v>44</v>
      </c>
      <c r="J425" t="s">
        <v>31</v>
      </c>
      <c r="K425" t="s">
        <v>166</v>
      </c>
      <c r="L425" t="s">
        <v>2291</v>
      </c>
      <c r="M425" t="s">
        <v>34</v>
      </c>
      <c r="N425" t="s">
        <v>2292</v>
      </c>
      <c r="O425" t="s">
        <v>2405</v>
      </c>
      <c r="P425" t="s">
        <v>64</v>
      </c>
      <c r="Q425" t="s">
        <v>353</v>
      </c>
      <c r="R425" t="s">
        <v>2406</v>
      </c>
      <c r="S425">
        <v>649</v>
      </c>
      <c r="T425">
        <v>-272.58</v>
      </c>
      <c r="U425">
        <v>-0.42</v>
      </c>
      <c r="V425">
        <v>2</v>
      </c>
      <c r="W425">
        <v>0.5</v>
      </c>
      <c r="X425">
        <v>2017</v>
      </c>
      <c r="Y425">
        <v>4</v>
      </c>
      <c r="Z425" t="s">
        <v>85</v>
      </c>
    </row>
    <row r="426" spans="1:26" x14ac:dyDescent="0.35">
      <c r="A426">
        <v>7410</v>
      </c>
      <c r="B426" t="s">
        <v>2407</v>
      </c>
      <c r="C426" s="1">
        <v>41855</v>
      </c>
      <c r="D426" s="1">
        <v>41977</v>
      </c>
      <c r="E426">
        <v>122</v>
      </c>
      <c r="F426" t="s">
        <v>2408</v>
      </c>
      <c r="G426" t="s">
        <v>2409</v>
      </c>
      <c r="H426" t="s">
        <v>29</v>
      </c>
      <c r="I426" t="s">
        <v>44</v>
      </c>
      <c r="J426" t="s">
        <v>31</v>
      </c>
      <c r="K426" t="s">
        <v>181</v>
      </c>
      <c r="L426" t="s">
        <v>1400</v>
      </c>
      <c r="M426" t="s">
        <v>126</v>
      </c>
      <c r="N426" t="s">
        <v>1401</v>
      </c>
      <c r="O426" t="s">
        <v>2410</v>
      </c>
      <c r="P426" t="s">
        <v>37</v>
      </c>
      <c r="Q426" t="s">
        <v>160</v>
      </c>
      <c r="R426" t="s">
        <v>2411</v>
      </c>
      <c r="S426">
        <v>172.11</v>
      </c>
      <c r="T426">
        <v>-94.660499999999999</v>
      </c>
      <c r="U426">
        <v>-0.54999999999999993</v>
      </c>
      <c r="V426">
        <v>1</v>
      </c>
      <c r="W426">
        <v>0.4</v>
      </c>
      <c r="X426">
        <v>2014</v>
      </c>
      <c r="Y426">
        <v>8</v>
      </c>
      <c r="Z426" t="s">
        <v>40</v>
      </c>
    </row>
    <row r="427" spans="1:26" x14ac:dyDescent="0.35">
      <c r="A427">
        <v>7482</v>
      </c>
      <c r="B427" t="s">
        <v>2412</v>
      </c>
      <c r="C427" s="1">
        <v>42378</v>
      </c>
      <c r="D427" s="1">
        <v>42438</v>
      </c>
      <c r="E427">
        <v>60</v>
      </c>
      <c r="F427" t="s">
        <v>2413</v>
      </c>
      <c r="G427" t="s">
        <v>2414</v>
      </c>
      <c r="H427" t="s">
        <v>107</v>
      </c>
      <c r="I427" t="s">
        <v>30</v>
      </c>
      <c r="J427" t="s">
        <v>31</v>
      </c>
      <c r="K427" t="s">
        <v>205</v>
      </c>
      <c r="L427" t="s">
        <v>2415</v>
      </c>
      <c r="M427" t="s">
        <v>47</v>
      </c>
      <c r="N427" t="s">
        <v>2416</v>
      </c>
      <c r="O427" t="s">
        <v>2417</v>
      </c>
      <c r="P427" t="s">
        <v>50</v>
      </c>
      <c r="Q427" t="s">
        <v>101</v>
      </c>
      <c r="R427" t="s">
        <v>2418</v>
      </c>
      <c r="S427">
        <v>12.78</v>
      </c>
      <c r="T427">
        <v>5.7510000000000003</v>
      </c>
      <c r="U427">
        <v>0.45000000000000007</v>
      </c>
      <c r="V427">
        <v>1</v>
      </c>
      <c r="W427">
        <v>0</v>
      </c>
      <c r="X427">
        <v>2016</v>
      </c>
      <c r="Y427">
        <v>1</v>
      </c>
      <c r="Z427" t="s">
        <v>147</v>
      </c>
    </row>
    <row r="428" spans="1:26" x14ac:dyDescent="0.35">
      <c r="A428">
        <v>7642</v>
      </c>
      <c r="B428" t="s">
        <v>2419</v>
      </c>
      <c r="C428" s="1">
        <v>42531</v>
      </c>
      <c r="D428" s="1">
        <v>42561</v>
      </c>
      <c r="E428">
        <v>30</v>
      </c>
      <c r="F428" t="s">
        <v>2413</v>
      </c>
      <c r="G428" t="s">
        <v>2414</v>
      </c>
      <c r="H428" t="s">
        <v>107</v>
      </c>
      <c r="I428" t="s">
        <v>58</v>
      </c>
      <c r="J428" t="s">
        <v>31</v>
      </c>
      <c r="K428" t="s">
        <v>242</v>
      </c>
      <c r="L428" t="s">
        <v>2420</v>
      </c>
      <c r="M428" t="s">
        <v>47</v>
      </c>
      <c r="N428" t="s">
        <v>2421</v>
      </c>
      <c r="O428" t="s">
        <v>2422</v>
      </c>
      <c r="P428" t="s">
        <v>64</v>
      </c>
      <c r="Q428" t="s">
        <v>353</v>
      </c>
      <c r="R428" t="s">
        <v>2423</v>
      </c>
      <c r="S428">
        <v>703.71</v>
      </c>
      <c r="T428">
        <v>-938.28</v>
      </c>
      <c r="U428">
        <v>-1.3333333333333333</v>
      </c>
      <c r="V428">
        <v>6</v>
      </c>
      <c r="W428">
        <v>0.7</v>
      </c>
      <c r="X428">
        <v>2016</v>
      </c>
      <c r="Y428">
        <v>6</v>
      </c>
      <c r="Z428" t="s">
        <v>120</v>
      </c>
    </row>
    <row r="429" spans="1:26" x14ac:dyDescent="0.35">
      <c r="A429">
        <v>7646</v>
      </c>
      <c r="B429" t="s">
        <v>2424</v>
      </c>
      <c r="C429" s="1">
        <v>42128</v>
      </c>
      <c r="D429" s="1">
        <v>42312</v>
      </c>
      <c r="E429">
        <v>184</v>
      </c>
      <c r="F429" t="s">
        <v>2425</v>
      </c>
      <c r="G429" t="s">
        <v>2426</v>
      </c>
      <c r="H429" t="s">
        <v>57</v>
      </c>
      <c r="I429" t="s">
        <v>44</v>
      </c>
      <c r="J429" t="s">
        <v>31</v>
      </c>
      <c r="K429" t="s">
        <v>205</v>
      </c>
      <c r="L429" t="s">
        <v>206</v>
      </c>
      <c r="M429" t="s">
        <v>47</v>
      </c>
      <c r="N429" t="s">
        <v>436</v>
      </c>
      <c r="O429" t="s">
        <v>2427</v>
      </c>
      <c r="P429" t="s">
        <v>37</v>
      </c>
      <c r="Q429" t="s">
        <v>320</v>
      </c>
      <c r="R429" t="s">
        <v>2428</v>
      </c>
      <c r="S429">
        <v>892.22400000000005</v>
      </c>
      <c r="T429">
        <v>89.222399999999993</v>
      </c>
      <c r="U429">
        <v>9.9999999999999992E-2</v>
      </c>
      <c r="V429">
        <v>3</v>
      </c>
      <c r="W429">
        <v>0.2</v>
      </c>
      <c r="X429">
        <v>2015</v>
      </c>
      <c r="Y429">
        <v>5</v>
      </c>
      <c r="Z429" t="s">
        <v>53</v>
      </c>
    </row>
    <row r="430" spans="1:26" x14ac:dyDescent="0.35">
      <c r="A430">
        <v>7715</v>
      </c>
      <c r="B430" t="s">
        <v>2429</v>
      </c>
      <c r="C430" s="1">
        <v>41771</v>
      </c>
      <c r="D430" s="1">
        <v>41832</v>
      </c>
      <c r="E430">
        <v>61</v>
      </c>
      <c r="F430" t="s">
        <v>2430</v>
      </c>
      <c r="G430" t="s">
        <v>2431</v>
      </c>
      <c r="H430" t="s">
        <v>29</v>
      </c>
      <c r="I430" t="s">
        <v>58</v>
      </c>
      <c r="J430" t="s">
        <v>31</v>
      </c>
      <c r="K430" t="s">
        <v>205</v>
      </c>
      <c r="L430" t="s">
        <v>206</v>
      </c>
      <c r="M430" t="s">
        <v>47</v>
      </c>
      <c r="N430" t="s">
        <v>442</v>
      </c>
      <c r="O430" t="s">
        <v>2432</v>
      </c>
      <c r="P430" t="s">
        <v>50</v>
      </c>
      <c r="Q430" t="s">
        <v>138</v>
      </c>
      <c r="R430" t="s">
        <v>2433</v>
      </c>
      <c r="S430">
        <v>250.26</v>
      </c>
      <c r="T430">
        <v>72.575400000000002</v>
      </c>
      <c r="U430">
        <v>0.29000000000000004</v>
      </c>
      <c r="V430">
        <v>6</v>
      </c>
      <c r="W430">
        <v>0</v>
      </c>
      <c r="X430">
        <v>2014</v>
      </c>
      <c r="Y430">
        <v>5</v>
      </c>
      <c r="Z430" t="s">
        <v>53</v>
      </c>
    </row>
    <row r="431" spans="1:26" x14ac:dyDescent="0.35">
      <c r="A431">
        <v>7717</v>
      </c>
      <c r="B431" t="s">
        <v>2434</v>
      </c>
      <c r="C431" s="1">
        <v>42156</v>
      </c>
      <c r="D431" s="1">
        <v>42339</v>
      </c>
      <c r="E431">
        <v>183</v>
      </c>
      <c r="F431" t="s">
        <v>1950</v>
      </c>
      <c r="G431" t="s">
        <v>1951</v>
      </c>
      <c r="H431" t="s">
        <v>57</v>
      </c>
      <c r="I431" t="s">
        <v>44</v>
      </c>
      <c r="J431" t="s">
        <v>31</v>
      </c>
      <c r="K431" t="s">
        <v>242</v>
      </c>
      <c r="L431" t="s">
        <v>2435</v>
      </c>
      <c r="M431" t="s">
        <v>47</v>
      </c>
      <c r="N431" t="s">
        <v>2436</v>
      </c>
      <c r="O431" t="s">
        <v>2437</v>
      </c>
      <c r="P431" t="s">
        <v>50</v>
      </c>
      <c r="Q431" t="s">
        <v>83</v>
      </c>
      <c r="R431" t="s">
        <v>2438</v>
      </c>
      <c r="S431">
        <v>29.6</v>
      </c>
      <c r="T431">
        <v>9.25</v>
      </c>
      <c r="U431">
        <v>0.3125</v>
      </c>
      <c r="V431">
        <v>5</v>
      </c>
      <c r="W431">
        <v>0.2</v>
      </c>
      <c r="X431">
        <v>2015</v>
      </c>
      <c r="Y431">
        <v>6</v>
      </c>
      <c r="Z431" t="s">
        <v>120</v>
      </c>
    </row>
    <row r="432" spans="1:26" x14ac:dyDescent="0.35">
      <c r="A432">
        <v>7762</v>
      </c>
      <c r="B432" t="s">
        <v>2439</v>
      </c>
      <c r="C432" s="1">
        <v>42806</v>
      </c>
      <c r="D432" s="1">
        <v>42898</v>
      </c>
      <c r="E432">
        <v>92</v>
      </c>
      <c r="F432" t="s">
        <v>1780</v>
      </c>
      <c r="G432" t="s">
        <v>1781</v>
      </c>
      <c r="H432" t="s">
        <v>29</v>
      </c>
      <c r="I432" t="s">
        <v>58</v>
      </c>
      <c r="J432" t="s">
        <v>31</v>
      </c>
      <c r="K432" t="s">
        <v>59</v>
      </c>
      <c r="L432" t="s">
        <v>1128</v>
      </c>
      <c r="M432" t="s">
        <v>61</v>
      </c>
      <c r="N432" t="s">
        <v>1129</v>
      </c>
      <c r="O432" t="s">
        <v>2440</v>
      </c>
      <c r="P432" t="s">
        <v>50</v>
      </c>
      <c r="Q432" t="s">
        <v>83</v>
      </c>
      <c r="R432" t="s">
        <v>2441</v>
      </c>
      <c r="S432">
        <v>10.368</v>
      </c>
      <c r="T432">
        <v>3.6288</v>
      </c>
      <c r="U432">
        <v>0.35</v>
      </c>
      <c r="V432">
        <v>2</v>
      </c>
      <c r="W432">
        <v>0.2</v>
      </c>
      <c r="X432">
        <v>2017</v>
      </c>
      <c r="Y432">
        <v>3</v>
      </c>
      <c r="Z432" t="s">
        <v>103</v>
      </c>
    </row>
    <row r="433" spans="1:26" x14ac:dyDescent="0.35">
      <c r="A433">
        <v>7821</v>
      </c>
      <c r="B433" t="s">
        <v>2442</v>
      </c>
      <c r="C433" s="1">
        <v>42959</v>
      </c>
      <c r="D433" s="1">
        <v>43020</v>
      </c>
      <c r="E433">
        <v>61</v>
      </c>
      <c r="F433" t="s">
        <v>2443</v>
      </c>
      <c r="G433" t="s">
        <v>2444</v>
      </c>
      <c r="H433" t="s">
        <v>107</v>
      </c>
      <c r="I433" t="s">
        <v>30</v>
      </c>
      <c r="J433" t="s">
        <v>31</v>
      </c>
      <c r="K433" t="s">
        <v>1425</v>
      </c>
      <c r="L433" t="s">
        <v>2445</v>
      </c>
      <c r="M433" t="s">
        <v>126</v>
      </c>
      <c r="N433" t="s">
        <v>2446</v>
      </c>
      <c r="O433" t="s">
        <v>2447</v>
      </c>
      <c r="P433" t="s">
        <v>50</v>
      </c>
      <c r="Q433" t="s">
        <v>110</v>
      </c>
      <c r="R433" t="s">
        <v>2448</v>
      </c>
      <c r="S433">
        <v>592.74</v>
      </c>
      <c r="T433">
        <v>160.03980000000001</v>
      </c>
      <c r="U433">
        <v>0.27</v>
      </c>
      <c r="V433">
        <v>6</v>
      </c>
      <c r="W433">
        <v>0</v>
      </c>
      <c r="X433">
        <v>2017</v>
      </c>
      <c r="Y433">
        <v>8</v>
      </c>
      <c r="Z433" t="s">
        <v>40</v>
      </c>
    </row>
    <row r="434" spans="1:26" x14ac:dyDescent="0.35">
      <c r="A434">
        <v>7881</v>
      </c>
      <c r="B434" t="s">
        <v>2449</v>
      </c>
      <c r="C434" s="1">
        <v>42806</v>
      </c>
      <c r="D434" s="1">
        <v>42898</v>
      </c>
      <c r="E434">
        <v>92</v>
      </c>
      <c r="F434" t="s">
        <v>789</v>
      </c>
      <c r="G434" t="s">
        <v>790</v>
      </c>
      <c r="H434" t="s">
        <v>29</v>
      </c>
      <c r="I434" t="s">
        <v>30</v>
      </c>
      <c r="J434" t="s">
        <v>31</v>
      </c>
      <c r="K434" t="s">
        <v>242</v>
      </c>
      <c r="L434" t="s">
        <v>2450</v>
      </c>
      <c r="M434" t="s">
        <v>47</v>
      </c>
      <c r="N434" t="s">
        <v>2451</v>
      </c>
      <c r="O434" t="s">
        <v>2452</v>
      </c>
      <c r="P434" t="s">
        <v>50</v>
      </c>
      <c r="Q434" t="s">
        <v>74</v>
      </c>
      <c r="R434" t="s">
        <v>2453</v>
      </c>
      <c r="S434">
        <v>13.343999999999999</v>
      </c>
      <c r="T434">
        <v>1.0007999999999999</v>
      </c>
      <c r="U434">
        <v>7.4999999999999997E-2</v>
      </c>
      <c r="V434">
        <v>6</v>
      </c>
      <c r="W434">
        <v>0.2</v>
      </c>
      <c r="X434">
        <v>2017</v>
      </c>
      <c r="Y434">
        <v>3</v>
      </c>
      <c r="Z434" t="s">
        <v>103</v>
      </c>
    </row>
    <row r="435" spans="1:26" x14ac:dyDescent="0.35">
      <c r="A435">
        <v>7968</v>
      </c>
      <c r="B435" t="s">
        <v>2454</v>
      </c>
      <c r="C435" s="1">
        <v>42653</v>
      </c>
      <c r="D435" s="1">
        <v>42714</v>
      </c>
      <c r="E435">
        <v>61</v>
      </c>
      <c r="F435" t="s">
        <v>2455</v>
      </c>
      <c r="G435" t="s">
        <v>2456</v>
      </c>
      <c r="H435" t="s">
        <v>57</v>
      </c>
      <c r="I435" t="s">
        <v>58</v>
      </c>
      <c r="J435" t="s">
        <v>31</v>
      </c>
      <c r="K435" t="s">
        <v>242</v>
      </c>
      <c r="L435" t="s">
        <v>243</v>
      </c>
      <c r="M435" t="s">
        <v>47</v>
      </c>
      <c r="N435" t="s">
        <v>244</v>
      </c>
      <c r="O435" t="s">
        <v>2457</v>
      </c>
      <c r="P435" t="s">
        <v>37</v>
      </c>
      <c r="Q435" t="s">
        <v>38</v>
      </c>
      <c r="R435" t="s">
        <v>2458</v>
      </c>
      <c r="S435">
        <v>90.882000000000005</v>
      </c>
      <c r="T435">
        <v>-190.85220000000001</v>
      </c>
      <c r="U435">
        <v>-2.1</v>
      </c>
      <c r="V435">
        <v>3</v>
      </c>
      <c r="W435">
        <v>0.7</v>
      </c>
      <c r="X435">
        <v>2016</v>
      </c>
      <c r="Y435">
        <v>10</v>
      </c>
      <c r="Z435" t="s">
        <v>694</v>
      </c>
    </row>
    <row r="436" spans="1:26" x14ac:dyDescent="0.35">
      <c r="A436">
        <v>8004</v>
      </c>
      <c r="B436" t="s">
        <v>2459</v>
      </c>
      <c r="C436" s="1">
        <v>41651</v>
      </c>
      <c r="D436" s="1">
        <v>41710</v>
      </c>
      <c r="E436">
        <v>59</v>
      </c>
      <c r="F436" t="s">
        <v>2460</v>
      </c>
      <c r="G436" t="s">
        <v>2461</v>
      </c>
      <c r="H436" t="s">
        <v>29</v>
      </c>
      <c r="I436" t="s">
        <v>58</v>
      </c>
      <c r="J436" t="s">
        <v>31</v>
      </c>
      <c r="K436" t="s">
        <v>337</v>
      </c>
      <c r="L436" t="s">
        <v>338</v>
      </c>
      <c r="M436" t="s">
        <v>126</v>
      </c>
      <c r="N436" t="s">
        <v>339</v>
      </c>
      <c r="O436" t="s">
        <v>2462</v>
      </c>
      <c r="P436" t="s">
        <v>64</v>
      </c>
      <c r="Q436" t="s">
        <v>65</v>
      </c>
      <c r="R436" t="s">
        <v>2463</v>
      </c>
      <c r="S436">
        <v>271.89999999999998</v>
      </c>
      <c r="T436">
        <v>78.850999999999999</v>
      </c>
      <c r="U436">
        <v>0.29000000000000004</v>
      </c>
      <c r="V436">
        <v>2</v>
      </c>
      <c r="W436">
        <v>0</v>
      </c>
      <c r="X436">
        <v>2014</v>
      </c>
      <c r="Y436">
        <v>1</v>
      </c>
      <c r="Z436" t="s">
        <v>147</v>
      </c>
    </row>
    <row r="437" spans="1:26" x14ac:dyDescent="0.35">
      <c r="A437">
        <v>8063</v>
      </c>
      <c r="B437" t="s">
        <v>2464</v>
      </c>
      <c r="C437" s="1">
        <v>42562</v>
      </c>
      <c r="D437" s="1">
        <v>42624</v>
      </c>
      <c r="E437">
        <v>62</v>
      </c>
      <c r="F437" t="s">
        <v>2465</v>
      </c>
      <c r="G437" t="s">
        <v>2466</v>
      </c>
      <c r="H437" t="s">
        <v>29</v>
      </c>
      <c r="I437" t="s">
        <v>58</v>
      </c>
      <c r="J437" t="s">
        <v>31</v>
      </c>
      <c r="K437" t="s">
        <v>124</v>
      </c>
      <c r="L437" t="s">
        <v>143</v>
      </c>
      <c r="M437" t="s">
        <v>126</v>
      </c>
      <c r="N437" t="s">
        <v>1167</v>
      </c>
      <c r="O437" t="s">
        <v>2467</v>
      </c>
      <c r="P437" t="s">
        <v>64</v>
      </c>
      <c r="Q437" t="s">
        <v>65</v>
      </c>
      <c r="R437" t="s">
        <v>2468</v>
      </c>
      <c r="S437">
        <v>263.95999999999998</v>
      </c>
      <c r="T437">
        <v>71.269199999999998</v>
      </c>
      <c r="U437">
        <v>0.27</v>
      </c>
      <c r="V437">
        <v>4</v>
      </c>
      <c r="W437">
        <v>0</v>
      </c>
      <c r="X437">
        <v>2016</v>
      </c>
      <c r="Y437">
        <v>7</v>
      </c>
      <c r="Z437" t="s">
        <v>217</v>
      </c>
    </row>
    <row r="438" spans="1:26" x14ac:dyDescent="0.35">
      <c r="A438">
        <v>8180</v>
      </c>
      <c r="B438" t="s">
        <v>2469</v>
      </c>
      <c r="C438" s="1">
        <v>42043</v>
      </c>
      <c r="D438" s="1">
        <v>42163</v>
      </c>
      <c r="E438">
        <v>120</v>
      </c>
      <c r="F438" t="s">
        <v>457</v>
      </c>
      <c r="G438" t="s">
        <v>458</v>
      </c>
      <c r="H438" t="s">
        <v>29</v>
      </c>
      <c r="I438" t="s">
        <v>44</v>
      </c>
      <c r="J438" t="s">
        <v>31</v>
      </c>
      <c r="K438" t="s">
        <v>115</v>
      </c>
      <c r="L438" t="s">
        <v>80</v>
      </c>
      <c r="M438" t="s">
        <v>47</v>
      </c>
      <c r="N438" t="s">
        <v>2470</v>
      </c>
      <c r="O438" t="s">
        <v>2471</v>
      </c>
      <c r="P438" t="s">
        <v>37</v>
      </c>
      <c r="Q438" t="s">
        <v>160</v>
      </c>
      <c r="R438" t="s">
        <v>2472</v>
      </c>
      <c r="S438">
        <v>277.5</v>
      </c>
      <c r="T438">
        <v>-188.7</v>
      </c>
      <c r="U438">
        <v>-0.67999999999999994</v>
      </c>
      <c r="V438">
        <v>4</v>
      </c>
      <c r="W438">
        <v>0.5</v>
      </c>
      <c r="X438">
        <v>2015</v>
      </c>
      <c r="Y438">
        <v>2</v>
      </c>
      <c r="Z438" t="s">
        <v>162</v>
      </c>
    </row>
    <row r="439" spans="1:26" x14ac:dyDescent="0.35">
      <c r="A439">
        <v>8212</v>
      </c>
      <c r="B439" t="s">
        <v>2473</v>
      </c>
      <c r="C439" s="1">
        <v>42562</v>
      </c>
      <c r="D439" s="1">
        <v>42715</v>
      </c>
      <c r="E439">
        <v>153</v>
      </c>
      <c r="F439" t="s">
        <v>549</v>
      </c>
      <c r="G439" t="s">
        <v>550</v>
      </c>
      <c r="H439" t="s">
        <v>29</v>
      </c>
      <c r="I439" t="s">
        <v>44</v>
      </c>
      <c r="J439" t="s">
        <v>31</v>
      </c>
      <c r="K439" t="s">
        <v>59</v>
      </c>
      <c r="L439" t="s">
        <v>528</v>
      </c>
      <c r="M439" t="s">
        <v>61</v>
      </c>
      <c r="N439" t="s">
        <v>1549</v>
      </c>
      <c r="O439" t="s">
        <v>2474</v>
      </c>
      <c r="P439" t="s">
        <v>37</v>
      </c>
      <c r="Q439" t="s">
        <v>129</v>
      </c>
      <c r="R439" t="s">
        <v>2475</v>
      </c>
      <c r="S439">
        <v>44.46</v>
      </c>
      <c r="T439">
        <v>-17.783999999999999</v>
      </c>
      <c r="U439">
        <v>-0.39999999999999997</v>
      </c>
      <c r="V439">
        <v>5</v>
      </c>
      <c r="W439">
        <v>0.6</v>
      </c>
      <c r="X439">
        <v>2016</v>
      </c>
      <c r="Y439">
        <v>7</v>
      </c>
      <c r="Z439" t="s">
        <v>217</v>
      </c>
    </row>
    <row r="440" spans="1:26" x14ac:dyDescent="0.35">
      <c r="A440">
        <v>8235</v>
      </c>
      <c r="B440" t="s">
        <v>2476</v>
      </c>
      <c r="C440" s="1">
        <v>42740</v>
      </c>
      <c r="D440" s="1">
        <v>42891</v>
      </c>
      <c r="E440">
        <v>151</v>
      </c>
      <c r="F440" t="s">
        <v>1346</v>
      </c>
      <c r="G440" t="s">
        <v>1347</v>
      </c>
      <c r="H440" t="s">
        <v>29</v>
      </c>
      <c r="I440" t="s">
        <v>44</v>
      </c>
      <c r="J440" t="s">
        <v>31</v>
      </c>
      <c r="K440" t="s">
        <v>272</v>
      </c>
      <c r="L440" t="s">
        <v>471</v>
      </c>
      <c r="M440" t="s">
        <v>34</v>
      </c>
      <c r="N440" t="s">
        <v>472</v>
      </c>
      <c r="O440" t="s">
        <v>2477</v>
      </c>
      <c r="P440" t="s">
        <v>50</v>
      </c>
      <c r="Q440" t="s">
        <v>531</v>
      </c>
      <c r="R440" t="s">
        <v>2478</v>
      </c>
      <c r="S440">
        <v>3.3279999999999998</v>
      </c>
      <c r="T440">
        <v>0.41599999999999998</v>
      </c>
      <c r="U440">
        <v>0.125</v>
      </c>
      <c r="V440">
        <v>2</v>
      </c>
      <c r="W440">
        <v>0.2</v>
      </c>
      <c r="X440">
        <v>2017</v>
      </c>
      <c r="Y440">
        <v>1</v>
      </c>
      <c r="Z440" t="s">
        <v>147</v>
      </c>
    </row>
    <row r="441" spans="1:26" x14ac:dyDescent="0.35">
      <c r="A441">
        <v>8331</v>
      </c>
      <c r="B441" t="s">
        <v>2479</v>
      </c>
      <c r="C441" s="1">
        <v>42927</v>
      </c>
      <c r="D441" s="1">
        <v>43050</v>
      </c>
      <c r="E441">
        <v>123</v>
      </c>
      <c r="F441" t="s">
        <v>489</v>
      </c>
      <c r="G441" t="s">
        <v>490</v>
      </c>
      <c r="H441" t="s">
        <v>29</v>
      </c>
      <c r="I441" t="s">
        <v>44</v>
      </c>
      <c r="J441" t="s">
        <v>31</v>
      </c>
      <c r="K441" t="s">
        <v>124</v>
      </c>
      <c r="L441" t="s">
        <v>125</v>
      </c>
      <c r="M441" t="s">
        <v>126</v>
      </c>
      <c r="N441" t="s">
        <v>305</v>
      </c>
      <c r="O441" t="s">
        <v>2480</v>
      </c>
      <c r="P441" t="s">
        <v>64</v>
      </c>
      <c r="Q441" t="s">
        <v>288</v>
      </c>
      <c r="R441" t="s">
        <v>2481</v>
      </c>
      <c r="S441">
        <v>7.88</v>
      </c>
      <c r="T441">
        <v>2.5215999999999998</v>
      </c>
      <c r="U441">
        <v>0.32</v>
      </c>
      <c r="V441">
        <v>4</v>
      </c>
      <c r="W441">
        <v>0</v>
      </c>
      <c r="X441">
        <v>2017</v>
      </c>
      <c r="Y441">
        <v>7</v>
      </c>
      <c r="Z441" t="s">
        <v>217</v>
      </c>
    </row>
    <row r="442" spans="1:26" x14ac:dyDescent="0.35">
      <c r="A442">
        <v>8337</v>
      </c>
      <c r="B442" t="s">
        <v>2482</v>
      </c>
      <c r="C442" s="1">
        <v>42407</v>
      </c>
      <c r="D442" s="1">
        <v>42589</v>
      </c>
      <c r="E442">
        <v>182</v>
      </c>
      <c r="F442" t="s">
        <v>728</v>
      </c>
      <c r="G442" t="s">
        <v>729</v>
      </c>
      <c r="H442" t="s">
        <v>29</v>
      </c>
      <c r="I442" t="s">
        <v>44</v>
      </c>
      <c r="J442" t="s">
        <v>31</v>
      </c>
      <c r="K442" t="s">
        <v>79</v>
      </c>
      <c r="L442" t="s">
        <v>1252</v>
      </c>
      <c r="M442" t="s">
        <v>34</v>
      </c>
      <c r="N442" t="s">
        <v>1897</v>
      </c>
      <c r="O442" t="s">
        <v>2483</v>
      </c>
      <c r="P442" t="s">
        <v>50</v>
      </c>
      <c r="Q442" t="s">
        <v>74</v>
      </c>
      <c r="R442" t="s">
        <v>2484</v>
      </c>
      <c r="S442">
        <v>7.7</v>
      </c>
      <c r="T442">
        <v>3.157</v>
      </c>
      <c r="U442">
        <v>0.41</v>
      </c>
      <c r="V442">
        <v>2</v>
      </c>
      <c r="W442">
        <v>0</v>
      </c>
      <c r="X442">
        <v>2016</v>
      </c>
      <c r="Y442">
        <v>2</v>
      </c>
      <c r="Z442" t="s">
        <v>162</v>
      </c>
    </row>
    <row r="443" spans="1:26" x14ac:dyDescent="0.35">
      <c r="A443">
        <v>8367</v>
      </c>
      <c r="B443" t="s">
        <v>2485</v>
      </c>
      <c r="C443" s="1">
        <v>41829</v>
      </c>
      <c r="D443" s="1">
        <v>41982</v>
      </c>
      <c r="E443">
        <v>153</v>
      </c>
      <c r="F443" t="s">
        <v>2486</v>
      </c>
      <c r="G443" t="s">
        <v>2487</v>
      </c>
      <c r="H443" t="s">
        <v>57</v>
      </c>
      <c r="I443" t="s">
        <v>30</v>
      </c>
      <c r="J443" t="s">
        <v>31</v>
      </c>
      <c r="K443" t="s">
        <v>205</v>
      </c>
      <c r="L443" t="s">
        <v>2488</v>
      </c>
      <c r="M443" t="s">
        <v>47</v>
      </c>
      <c r="N443" t="s">
        <v>2489</v>
      </c>
      <c r="O443" t="s">
        <v>2490</v>
      </c>
      <c r="P443" t="s">
        <v>50</v>
      </c>
      <c r="Q443" t="s">
        <v>531</v>
      </c>
      <c r="R443" t="s">
        <v>2491</v>
      </c>
      <c r="S443">
        <v>27.36</v>
      </c>
      <c r="T443">
        <v>7.3872</v>
      </c>
      <c r="U443">
        <v>0.27</v>
      </c>
      <c r="V443">
        <v>4</v>
      </c>
      <c r="W443">
        <v>0</v>
      </c>
      <c r="X443">
        <v>2014</v>
      </c>
      <c r="Y443">
        <v>7</v>
      </c>
      <c r="Z443" t="s">
        <v>217</v>
      </c>
    </row>
    <row r="444" spans="1:26" x14ac:dyDescent="0.35">
      <c r="A444">
        <v>8492</v>
      </c>
      <c r="B444" t="s">
        <v>2492</v>
      </c>
      <c r="C444" s="1">
        <v>42923</v>
      </c>
      <c r="D444" s="1">
        <v>43046</v>
      </c>
      <c r="E444">
        <v>123</v>
      </c>
      <c r="F444" t="s">
        <v>2289</v>
      </c>
      <c r="G444" t="s">
        <v>2290</v>
      </c>
      <c r="H444" t="s">
        <v>29</v>
      </c>
      <c r="I444" t="s">
        <v>44</v>
      </c>
      <c r="J444" t="s">
        <v>31</v>
      </c>
      <c r="K444" t="s">
        <v>205</v>
      </c>
      <c r="L444" t="s">
        <v>206</v>
      </c>
      <c r="M444" t="s">
        <v>47</v>
      </c>
      <c r="N444" t="s">
        <v>949</v>
      </c>
      <c r="O444" t="s">
        <v>2493</v>
      </c>
      <c r="P444" t="s">
        <v>50</v>
      </c>
      <c r="Q444" t="s">
        <v>486</v>
      </c>
      <c r="R444" t="s">
        <v>2494</v>
      </c>
      <c r="S444">
        <v>5.94</v>
      </c>
      <c r="T444">
        <v>0.1188</v>
      </c>
      <c r="U444">
        <v>0.02</v>
      </c>
      <c r="V444">
        <v>3</v>
      </c>
      <c r="W444">
        <v>0</v>
      </c>
      <c r="X444">
        <v>2017</v>
      </c>
      <c r="Y444">
        <v>7</v>
      </c>
      <c r="Z444" t="s">
        <v>217</v>
      </c>
    </row>
    <row r="445" spans="1:26" x14ac:dyDescent="0.35">
      <c r="A445">
        <v>8496</v>
      </c>
      <c r="B445" t="s">
        <v>2495</v>
      </c>
      <c r="C445" s="1">
        <v>42412</v>
      </c>
      <c r="D445" s="1">
        <v>42594</v>
      </c>
      <c r="E445">
        <v>182</v>
      </c>
      <c r="F445" t="s">
        <v>303</v>
      </c>
      <c r="G445" t="s">
        <v>304</v>
      </c>
      <c r="H445" t="s">
        <v>57</v>
      </c>
      <c r="I445" t="s">
        <v>44</v>
      </c>
      <c r="J445" t="s">
        <v>31</v>
      </c>
      <c r="K445" t="s">
        <v>242</v>
      </c>
      <c r="L445" t="s">
        <v>2496</v>
      </c>
      <c r="M445" t="s">
        <v>47</v>
      </c>
      <c r="N445" t="s">
        <v>2497</v>
      </c>
      <c r="O445" t="s">
        <v>2498</v>
      </c>
      <c r="P445" t="s">
        <v>64</v>
      </c>
      <c r="Q445" t="s">
        <v>288</v>
      </c>
      <c r="R445" t="s">
        <v>2499</v>
      </c>
      <c r="S445">
        <v>165.6</v>
      </c>
      <c r="T445">
        <v>-6.21</v>
      </c>
      <c r="U445">
        <v>-3.7499999999999999E-2</v>
      </c>
      <c r="V445">
        <v>3</v>
      </c>
      <c r="W445">
        <v>0.2</v>
      </c>
      <c r="X445">
        <v>2016</v>
      </c>
      <c r="Y445">
        <v>2</v>
      </c>
      <c r="Z445" t="s">
        <v>162</v>
      </c>
    </row>
    <row r="446" spans="1:26" x14ac:dyDescent="0.35">
      <c r="A446">
        <v>8519</v>
      </c>
      <c r="B446" t="s">
        <v>2500</v>
      </c>
      <c r="C446" s="1">
        <v>42837</v>
      </c>
      <c r="D446" s="1">
        <v>43020</v>
      </c>
      <c r="E446">
        <v>183</v>
      </c>
      <c r="F446" t="s">
        <v>2501</v>
      </c>
      <c r="G446" t="s">
        <v>2502</v>
      </c>
      <c r="H446" t="s">
        <v>29</v>
      </c>
      <c r="I446" t="s">
        <v>44</v>
      </c>
      <c r="J446" t="s">
        <v>31</v>
      </c>
      <c r="K446" t="s">
        <v>311</v>
      </c>
      <c r="L446" t="s">
        <v>2503</v>
      </c>
      <c r="M446" t="s">
        <v>126</v>
      </c>
      <c r="N446" t="s">
        <v>2504</v>
      </c>
      <c r="O446" t="s">
        <v>2505</v>
      </c>
      <c r="P446" t="s">
        <v>37</v>
      </c>
      <c r="Q446" t="s">
        <v>129</v>
      </c>
      <c r="R446" t="s">
        <v>2506</v>
      </c>
      <c r="S446">
        <v>12.99</v>
      </c>
      <c r="T446">
        <v>1.5588</v>
      </c>
      <c r="U446">
        <v>0.12</v>
      </c>
      <c r="V446">
        <v>1</v>
      </c>
      <c r="W446">
        <v>0</v>
      </c>
      <c r="X446">
        <v>2017</v>
      </c>
      <c r="Y446">
        <v>4</v>
      </c>
      <c r="Z446" t="s">
        <v>85</v>
      </c>
    </row>
    <row r="447" spans="1:26" x14ac:dyDescent="0.35">
      <c r="A447">
        <v>8523</v>
      </c>
      <c r="B447" t="s">
        <v>2507</v>
      </c>
      <c r="C447" s="1">
        <v>42373</v>
      </c>
      <c r="D447" s="1">
        <v>42555</v>
      </c>
      <c r="E447">
        <v>182</v>
      </c>
      <c r="F447" t="s">
        <v>2382</v>
      </c>
      <c r="G447" t="s">
        <v>2383</v>
      </c>
      <c r="H447" t="s">
        <v>57</v>
      </c>
      <c r="I447" t="s">
        <v>44</v>
      </c>
      <c r="J447" t="s">
        <v>31</v>
      </c>
      <c r="K447" t="s">
        <v>197</v>
      </c>
      <c r="L447" t="s">
        <v>859</v>
      </c>
      <c r="M447" t="s">
        <v>61</v>
      </c>
      <c r="N447" t="s">
        <v>860</v>
      </c>
      <c r="O447" t="s">
        <v>2508</v>
      </c>
      <c r="P447" t="s">
        <v>64</v>
      </c>
      <c r="Q447" t="s">
        <v>65</v>
      </c>
      <c r="R447" t="s">
        <v>2509</v>
      </c>
      <c r="S447">
        <v>12.99</v>
      </c>
      <c r="T447">
        <v>0.25979999999999998</v>
      </c>
      <c r="U447">
        <v>1.9999999999999997E-2</v>
      </c>
      <c r="V447">
        <v>1</v>
      </c>
      <c r="W447">
        <v>0</v>
      </c>
      <c r="X447">
        <v>2016</v>
      </c>
      <c r="Y447">
        <v>1</v>
      </c>
      <c r="Z447" t="s">
        <v>147</v>
      </c>
    </row>
    <row r="448" spans="1:26" x14ac:dyDescent="0.35">
      <c r="A448">
        <v>8550</v>
      </c>
      <c r="B448" t="s">
        <v>2510</v>
      </c>
      <c r="C448" s="1">
        <v>42317</v>
      </c>
      <c r="D448" s="1">
        <v>42347</v>
      </c>
      <c r="E448">
        <v>30</v>
      </c>
      <c r="F448" t="s">
        <v>817</v>
      </c>
      <c r="G448" t="s">
        <v>818</v>
      </c>
      <c r="H448" t="s">
        <v>57</v>
      </c>
      <c r="I448" t="s">
        <v>58</v>
      </c>
      <c r="J448" t="s">
        <v>31</v>
      </c>
      <c r="K448" t="s">
        <v>242</v>
      </c>
      <c r="L448" t="s">
        <v>2005</v>
      </c>
      <c r="M448" t="s">
        <v>47</v>
      </c>
      <c r="N448" t="s">
        <v>2511</v>
      </c>
      <c r="O448" t="s">
        <v>2512</v>
      </c>
      <c r="P448" t="s">
        <v>37</v>
      </c>
      <c r="Q448" t="s">
        <v>129</v>
      </c>
      <c r="R448" t="s">
        <v>2513</v>
      </c>
      <c r="S448">
        <v>24.64</v>
      </c>
      <c r="T448">
        <v>4.0039999999999996</v>
      </c>
      <c r="U448">
        <v>0.16249999999999998</v>
      </c>
      <c r="V448">
        <v>4</v>
      </c>
      <c r="W448">
        <v>0.2</v>
      </c>
      <c r="X448">
        <v>2015</v>
      </c>
      <c r="Y448">
        <v>11</v>
      </c>
      <c r="Z448" t="s">
        <v>210</v>
      </c>
    </row>
    <row r="449" spans="1:26" x14ac:dyDescent="0.35">
      <c r="A449">
        <v>8704</v>
      </c>
      <c r="B449" t="s">
        <v>2514</v>
      </c>
      <c r="C449" s="1">
        <v>42007</v>
      </c>
      <c r="D449" s="1">
        <v>42127</v>
      </c>
      <c r="E449">
        <v>120</v>
      </c>
      <c r="F449" t="s">
        <v>1182</v>
      </c>
      <c r="G449" t="s">
        <v>1183</v>
      </c>
      <c r="H449" t="s">
        <v>29</v>
      </c>
      <c r="I449" t="s">
        <v>44</v>
      </c>
      <c r="J449" t="s">
        <v>31</v>
      </c>
      <c r="K449" t="s">
        <v>189</v>
      </c>
      <c r="L449" t="s">
        <v>190</v>
      </c>
      <c r="M449" t="s">
        <v>126</v>
      </c>
      <c r="N449" t="s">
        <v>1441</v>
      </c>
      <c r="O449" t="s">
        <v>2515</v>
      </c>
      <c r="P449" t="s">
        <v>50</v>
      </c>
      <c r="Q449" t="s">
        <v>138</v>
      </c>
      <c r="R449" t="s">
        <v>2516</v>
      </c>
      <c r="S449">
        <v>3.552</v>
      </c>
      <c r="T449">
        <v>0.44400000000000001</v>
      </c>
      <c r="U449">
        <v>0.125</v>
      </c>
      <c r="V449">
        <v>2</v>
      </c>
      <c r="W449">
        <v>0.2</v>
      </c>
      <c r="X449">
        <v>2015</v>
      </c>
      <c r="Y449">
        <v>1</v>
      </c>
      <c r="Z449" t="s">
        <v>147</v>
      </c>
    </row>
    <row r="450" spans="1:26" x14ac:dyDescent="0.35">
      <c r="A450">
        <v>8706</v>
      </c>
      <c r="B450" t="s">
        <v>2517</v>
      </c>
      <c r="C450" s="1">
        <v>41649</v>
      </c>
      <c r="D450" s="1">
        <v>41769</v>
      </c>
      <c r="E450">
        <v>120</v>
      </c>
      <c r="F450" t="s">
        <v>2518</v>
      </c>
      <c r="G450" t="s">
        <v>2519</v>
      </c>
      <c r="H450" t="s">
        <v>107</v>
      </c>
      <c r="I450" t="s">
        <v>44</v>
      </c>
      <c r="J450" t="s">
        <v>31</v>
      </c>
      <c r="K450" t="s">
        <v>2149</v>
      </c>
      <c r="L450" t="s">
        <v>2520</v>
      </c>
      <c r="M450" t="s">
        <v>47</v>
      </c>
      <c r="N450" t="s">
        <v>2521</v>
      </c>
      <c r="O450" t="s">
        <v>2522</v>
      </c>
      <c r="P450" t="s">
        <v>50</v>
      </c>
      <c r="Q450" t="s">
        <v>486</v>
      </c>
      <c r="R450" t="s">
        <v>2523</v>
      </c>
      <c r="S450">
        <v>4.71</v>
      </c>
      <c r="T450">
        <v>0</v>
      </c>
      <c r="U450">
        <v>0</v>
      </c>
      <c r="V450">
        <v>1</v>
      </c>
      <c r="W450">
        <v>0</v>
      </c>
      <c r="X450">
        <v>2014</v>
      </c>
      <c r="Y450">
        <v>1</v>
      </c>
      <c r="Z450" t="s">
        <v>147</v>
      </c>
    </row>
    <row r="451" spans="1:26" x14ac:dyDescent="0.35">
      <c r="A451">
        <v>8752</v>
      </c>
      <c r="B451" t="s">
        <v>2524</v>
      </c>
      <c r="C451" s="1">
        <v>42495</v>
      </c>
      <c r="D451" s="1">
        <v>42618</v>
      </c>
      <c r="E451">
        <v>123</v>
      </c>
      <c r="F451" t="s">
        <v>2525</v>
      </c>
      <c r="G451" t="s">
        <v>2526</v>
      </c>
      <c r="H451" t="s">
        <v>107</v>
      </c>
      <c r="I451" t="s">
        <v>44</v>
      </c>
      <c r="J451" t="s">
        <v>31</v>
      </c>
      <c r="K451" t="s">
        <v>272</v>
      </c>
      <c r="L451" t="s">
        <v>2527</v>
      </c>
      <c r="M451" t="s">
        <v>34</v>
      </c>
      <c r="N451" t="s">
        <v>2528</v>
      </c>
      <c r="O451" t="s">
        <v>2529</v>
      </c>
      <c r="P451" t="s">
        <v>50</v>
      </c>
      <c r="Q451" t="s">
        <v>83</v>
      </c>
      <c r="R451" t="s">
        <v>2530</v>
      </c>
      <c r="S451">
        <v>93.248000000000005</v>
      </c>
      <c r="T451">
        <v>31.4712</v>
      </c>
      <c r="U451">
        <v>0.33749999999999997</v>
      </c>
      <c r="V451">
        <v>4</v>
      </c>
      <c r="W451">
        <v>0.2</v>
      </c>
      <c r="X451">
        <v>2016</v>
      </c>
      <c r="Y451">
        <v>5</v>
      </c>
      <c r="Z451" t="s">
        <v>53</v>
      </c>
    </row>
    <row r="452" spans="1:26" x14ac:dyDescent="0.35">
      <c r="A452">
        <v>8829</v>
      </c>
      <c r="B452" t="s">
        <v>2531</v>
      </c>
      <c r="C452" s="1">
        <v>42130</v>
      </c>
      <c r="D452" s="1">
        <v>42253</v>
      </c>
      <c r="E452">
        <v>123</v>
      </c>
      <c r="F452" t="s">
        <v>2532</v>
      </c>
      <c r="G452" t="s">
        <v>2533</v>
      </c>
      <c r="H452" t="s">
        <v>57</v>
      </c>
      <c r="I452" t="s">
        <v>44</v>
      </c>
      <c r="J452" t="s">
        <v>31</v>
      </c>
      <c r="K452" t="s">
        <v>2276</v>
      </c>
      <c r="L452" t="s">
        <v>2534</v>
      </c>
      <c r="M452" t="s">
        <v>61</v>
      </c>
      <c r="N452" t="s">
        <v>2535</v>
      </c>
      <c r="O452" t="s">
        <v>2536</v>
      </c>
      <c r="P452" t="s">
        <v>50</v>
      </c>
      <c r="Q452" t="s">
        <v>83</v>
      </c>
      <c r="R452" t="s">
        <v>2537</v>
      </c>
      <c r="S452">
        <v>10.56</v>
      </c>
      <c r="T452">
        <v>4.7519999999999998</v>
      </c>
      <c r="U452">
        <v>0.44999999999999996</v>
      </c>
      <c r="V452">
        <v>2</v>
      </c>
      <c r="W452">
        <v>0</v>
      </c>
      <c r="X452">
        <v>2015</v>
      </c>
      <c r="Y452">
        <v>5</v>
      </c>
      <c r="Z452" t="s">
        <v>53</v>
      </c>
    </row>
    <row r="453" spans="1:26" x14ac:dyDescent="0.35">
      <c r="A453">
        <v>8869</v>
      </c>
      <c r="B453" t="s">
        <v>2538</v>
      </c>
      <c r="C453" s="1">
        <v>42471</v>
      </c>
      <c r="D453" s="1">
        <v>42593</v>
      </c>
      <c r="E453">
        <v>122</v>
      </c>
      <c r="F453" t="s">
        <v>2053</v>
      </c>
      <c r="G453" t="s">
        <v>2054</v>
      </c>
      <c r="H453" t="s">
        <v>29</v>
      </c>
      <c r="I453" t="s">
        <v>44</v>
      </c>
      <c r="J453" t="s">
        <v>31</v>
      </c>
      <c r="K453" t="s">
        <v>205</v>
      </c>
      <c r="L453" t="s">
        <v>423</v>
      </c>
      <c r="M453" t="s">
        <v>47</v>
      </c>
      <c r="N453" t="s">
        <v>1152</v>
      </c>
      <c r="O453" t="s">
        <v>2539</v>
      </c>
      <c r="P453" t="s">
        <v>64</v>
      </c>
      <c r="Q453" t="s">
        <v>353</v>
      </c>
      <c r="R453" t="s">
        <v>2540</v>
      </c>
      <c r="S453">
        <v>686.4</v>
      </c>
      <c r="T453">
        <v>77.22</v>
      </c>
      <c r="U453">
        <v>0.1125</v>
      </c>
      <c r="V453">
        <v>2</v>
      </c>
      <c r="W453">
        <v>0.2</v>
      </c>
      <c r="X453">
        <v>2016</v>
      </c>
      <c r="Y453">
        <v>4</v>
      </c>
      <c r="Z453" t="s">
        <v>85</v>
      </c>
    </row>
    <row r="454" spans="1:26" x14ac:dyDescent="0.35">
      <c r="A454">
        <v>8873</v>
      </c>
      <c r="B454" t="s">
        <v>2541</v>
      </c>
      <c r="C454" s="1">
        <v>41922</v>
      </c>
      <c r="D454" s="1">
        <v>41922</v>
      </c>
      <c r="E454">
        <v>0</v>
      </c>
      <c r="F454" t="s">
        <v>1461</v>
      </c>
      <c r="G454" t="s">
        <v>1462</v>
      </c>
      <c r="H454" t="s">
        <v>29</v>
      </c>
      <c r="I454" t="s">
        <v>543</v>
      </c>
      <c r="J454" t="s">
        <v>31</v>
      </c>
      <c r="K454" t="s">
        <v>181</v>
      </c>
      <c r="L454" t="s">
        <v>182</v>
      </c>
      <c r="M454" t="s">
        <v>126</v>
      </c>
      <c r="N454" t="s">
        <v>183</v>
      </c>
      <c r="O454" t="s">
        <v>2542</v>
      </c>
      <c r="P454" t="s">
        <v>64</v>
      </c>
      <c r="Q454" t="s">
        <v>353</v>
      </c>
      <c r="R454" t="s">
        <v>2543</v>
      </c>
      <c r="S454">
        <v>101.994</v>
      </c>
      <c r="T454">
        <v>-71.395799999999994</v>
      </c>
      <c r="U454">
        <v>-0.7</v>
      </c>
      <c r="V454">
        <v>2</v>
      </c>
      <c r="W454">
        <v>0.7</v>
      </c>
      <c r="X454">
        <v>2014</v>
      </c>
      <c r="Y454">
        <v>10</v>
      </c>
      <c r="Z454" t="s">
        <v>694</v>
      </c>
    </row>
    <row r="455" spans="1:26" x14ac:dyDescent="0.35">
      <c r="A455">
        <v>8911</v>
      </c>
      <c r="B455" t="s">
        <v>2544</v>
      </c>
      <c r="C455" s="1">
        <v>42836</v>
      </c>
      <c r="D455" s="1">
        <v>42958</v>
      </c>
      <c r="E455">
        <v>122</v>
      </c>
      <c r="F455" t="s">
        <v>1162</v>
      </c>
      <c r="G455" t="s">
        <v>1163</v>
      </c>
      <c r="H455" t="s">
        <v>29</v>
      </c>
      <c r="I455" t="s">
        <v>44</v>
      </c>
      <c r="J455" t="s">
        <v>31</v>
      </c>
      <c r="K455" t="s">
        <v>166</v>
      </c>
      <c r="L455" t="s">
        <v>2201</v>
      </c>
      <c r="M455" t="s">
        <v>34</v>
      </c>
      <c r="N455" t="s">
        <v>2202</v>
      </c>
      <c r="O455" t="s">
        <v>2545</v>
      </c>
      <c r="P455" t="s">
        <v>64</v>
      </c>
      <c r="Q455" t="s">
        <v>288</v>
      </c>
      <c r="R455" t="s">
        <v>2546</v>
      </c>
      <c r="S455">
        <v>95.975999999999999</v>
      </c>
      <c r="T455">
        <v>15.5961</v>
      </c>
      <c r="U455">
        <v>0.16250000000000001</v>
      </c>
      <c r="V455">
        <v>3</v>
      </c>
      <c r="W455">
        <v>0.2</v>
      </c>
      <c r="X455">
        <v>2017</v>
      </c>
      <c r="Y455">
        <v>4</v>
      </c>
      <c r="Z455" t="s">
        <v>85</v>
      </c>
    </row>
    <row r="456" spans="1:26" x14ac:dyDescent="0.35">
      <c r="A456">
        <v>8981</v>
      </c>
      <c r="B456" t="s">
        <v>2547</v>
      </c>
      <c r="C456" s="1">
        <v>41792</v>
      </c>
      <c r="D456" s="1">
        <v>41914</v>
      </c>
      <c r="E456">
        <v>122</v>
      </c>
      <c r="F456" t="s">
        <v>834</v>
      </c>
      <c r="G456" t="s">
        <v>835</v>
      </c>
      <c r="H456" t="s">
        <v>29</v>
      </c>
      <c r="I456" t="s">
        <v>30</v>
      </c>
      <c r="J456" t="s">
        <v>31</v>
      </c>
      <c r="K456" t="s">
        <v>234</v>
      </c>
      <c r="L456" t="s">
        <v>2548</v>
      </c>
      <c r="M456" t="s">
        <v>61</v>
      </c>
      <c r="N456" t="s">
        <v>2549</v>
      </c>
      <c r="O456" t="s">
        <v>2550</v>
      </c>
      <c r="P456" t="s">
        <v>50</v>
      </c>
      <c r="Q456" t="s">
        <v>51</v>
      </c>
      <c r="R456" t="s">
        <v>2551</v>
      </c>
      <c r="S456">
        <v>8.952</v>
      </c>
      <c r="T456">
        <v>-14.770799999999999</v>
      </c>
      <c r="U456">
        <v>-1.65</v>
      </c>
      <c r="V456">
        <v>2</v>
      </c>
      <c r="W456">
        <v>0.8</v>
      </c>
      <c r="X456">
        <v>2014</v>
      </c>
      <c r="Y456">
        <v>6</v>
      </c>
      <c r="Z456" t="s">
        <v>120</v>
      </c>
    </row>
    <row r="457" spans="1:26" x14ac:dyDescent="0.35">
      <c r="A457">
        <v>9057</v>
      </c>
      <c r="B457" t="s">
        <v>2552</v>
      </c>
      <c r="C457" s="1">
        <v>42046</v>
      </c>
      <c r="D457" s="1">
        <v>42105</v>
      </c>
      <c r="E457">
        <v>59</v>
      </c>
      <c r="F457" t="s">
        <v>2553</v>
      </c>
      <c r="G457" t="s">
        <v>2554</v>
      </c>
      <c r="H457" t="s">
        <v>107</v>
      </c>
      <c r="I457" t="s">
        <v>58</v>
      </c>
      <c r="J457" t="s">
        <v>31</v>
      </c>
      <c r="K457" t="s">
        <v>124</v>
      </c>
      <c r="L457" t="s">
        <v>125</v>
      </c>
      <c r="M457" t="s">
        <v>126</v>
      </c>
      <c r="N457" t="s">
        <v>740</v>
      </c>
      <c r="O457" t="s">
        <v>2555</v>
      </c>
      <c r="P457" t="s">
        <v>37</v>
      </c>
      <c r="Q457" t="s">
        <v>320</v>
      </c>
      <c r="R457" t="s">
        <v>2556</v>
      </c>
      <c r="S457">
        <v>2621.3220000000001</v>
      </c>
      <c r="T457">
        <v>553.39020000000005</v>
      </c>
      <c r="U457">
        <v>0.21111111111111111</v>
      </c>
      <c r="V457">
        <v>11</v>
      </c>
      <c r="W457">
        <v>0.1</v>
      </c>
      <c r="X457">
        <v>2015</v>
      </c>
      <c r="Y457">
        <v>2</v>
      </c>
      <c r="Z457" t="s">
        <v>162</v>
      </c>
    </row>
    <row r="458" spans="1:26" x14ac:dyDescent="0.35">
      <c r="A458">
        <v>9275</v>
      </c>
      <c r="B458" t="s">
        <v>2557</v>
      </c>
      <c r="C458" s="1">
        <v>41922</v>
      </c>
      <c r="D458" s="1">
        <v>41922</v>
      </c>
      <c r="E458">
        <v>0</v>
      </c>
      <c r="F458" t="s">
        <v>2558</v>
      </c>
      <c r="G458" t="s">
        <v>2559</v>
      </c>
      <c r="H458" t="s">
        <v>57</v>
      </c>
      <c r="I458" t="s">
        <v>543</v>
      </c>
      <c r="J458" t="s">
        <v>31</v>
      </c>
      <c r="K458" t="s">
        <v>2560</v>
      </c>
      <c r="L458" t="s">
        <v>2561</v>
      </c>
      <c r="M458" t="s">
        <v>47</v>
      </c>
      <c r="N458" t="s">
        <v>2562</v>
      </c>
      <c r="O458" t="s">
        <v>2563</v>
      </c>
      <c r="P458" t="s">
        <v>50</v>
      </c>
      <c r="Q458" t="s">
        <v>74</v>
      </c>
      <c r="R458" t="s">
        <v>2564</v>
      </c>
      <c r="S458">
        <v>255.85</v>
      </c>
      <c r="T458">
        <v>112.574</v>
      </c>
      <c r="U458">
        <v>0.44</v>
      </c>
      <c r="V458">
        <v>7</v>
      </c>
      <c r="W458">
        <v>0</v>
      </c>
      <c r="X458">
        <v>2014</v>
      </c>
      <c r="Y458">
        <v>10</v>
      </c>
      <c r="Z458" t="s">
        <v>694</v>
      </c>
    </row>
    <row r="459" spans="1:26" x14ac:dyDescent="0.35">
      <c r="A459">
        <v>9316</v>
      </c>
      <c r="B459" t="s">
        <v>2565</v>
      </c>
      <c r="C459" s="1">
        <v>42494</v>
      </c>
      <c r="D459" s="1">
        <v>42617</v>
      </c>
      <c r="E459">
        <v>123</v>
      </c>
      <c r="F459" t="s">
        <v>2566</v>
      </c>
      <c r="G459" t="s">
        <v>2567</v>
      </c>
      <c r="H459" t="s">
        <v>29</v>
      </c>
      <c r="I459" t="s">
        <v>44</v>
      </c>
      <c r="J459" t="s">
        <v>31</v>
      </c>
      <c r="K459" t="s">
        <v>189</v>
      </c>
      <c r="L459" t="s">
        <v>190</v>
      </c>
      <c r="M459" t="s">
        <v>126</v>
      </c>
      <c r="N459" t="s">
        <v>191</v>
      </c>
      <c r="O459" t="s">
        <v>2568</v>
      </c>
      <c r="P459" t="s">
        <v>64</v>
      </c>
      <c r="Q459" t="s">
        <v>65</v>
      </c>
      <c r="R459" t="s">
        <v>2569</v>
      </c>
      <c r="S459">
        <v>118.782</v>
      </c>
      <c r="T459">
        <v>-27.715800000000002</v>
      </c>
      <c r="U459">
        <v>-0.23333333333333336</v>
      </c>
      <c r="V459">
        <v>3</v>
      </c>
      <c r="W459">
        <v>0.4</v>
      </c>
      <c r="X459">
        <v>2016</v>
      </c>
      <c r="Y459">
        <v>5</v>
      </c>
      <c r="Z459" t="s">
        <v>53</v>
      </c>
    </row>
    <row r="460" spans="1:26" x14ac:dyDescent="0.35">
      <c r="A460">
        <v>9605</v>
      </c>
      <c r="B460" t="s">
        <v>2570</v>
      </c>
      <c r="C460" s="1">
        <v>42046</v>
      </c>
      <c r="D460" s="1">
        <v>42135</v>
      </c>
      <c r="E460">
        <v>89</v>
      </c>
      <c r="F460" t="s">
        <v>587</v>
      </c>
      <c r="G460" t="s">
        <v>588</v>
      </c>
      <c r="H460" t="s">
        <v>29</v>
      </c>
      <c r="I460" t="s">
        <v>58</v>
      </c>
      <c r="J460" t="s">
        <v>31</v>
      </c>
      <c r="K460" t="s">
        <v>79</v>
      </c>
      <c r="L460" t="s">
        <v>2571</v>
      </c>
      <c r="M460" t="s">
        <v>34</v>
      </c>
      <c r="N460" t="s">
        <v>2572</v>
      </c>
      <c r="O460" t="s">
        <v>2573</v>
      </c>
      <c r="P460" t="s">
        <v>50</v>
      </c>
      <c r="Q460" t="s">
        <v>138</v>
      </c>
      <c r="R460" t="s">
        <v>2574</v>
      </c>
      <c r="S460">
        <v>197.72</v>
      </c>
      <c r="T460">
        <v>55.361600000000003</v>
      </c>
      <c r="U460">
        <v>0.28000000000000003</v>
      </c>
      <c r="V460">
        <v>4</v>
      </c>
      <c r="W460">
        <v>0</v>
      </c>
      <c r="X460">
        <v>2015</v>
      </c>
      <c r="Y460">
        <v>2</v>
      </c>
      <c r="Z460" t="s">
        <v>162</v>
      </c>
    </row>
    <row r="461" spans="1:26" x14ac:dyDescent="0.35">
      <c r="A461">
        <v>9608</v>
      </c>
      <c r="B461" t="s">
        <v>2575</v>
      </c>
      <c r="C461" s="1">
        <v>42867</v>
      </c>
      <c r="D461" s="1">
        <v>42959</v>
      </c>
      <c r="E461">
        <v>92</v>
      </c>
      <c r="F461" t="s">
        <v>2576</v>
      </c>
      <c r="G461" t="s">
        <v>2577</v>
      </c>
      <c r="H461" t="s">
        <v>29</v>
      </c>
      <c r="I461" t="s">
        <v>30</v>
      </c>
      <c r="J461" t="s">
        <v>31</v>
      </c>
      <c r="K461" t="s">
        <v>124</v>
      </c>
      <c r="L461" t="s">
        <v>125</v>
      </c>
      <c r="M461" t="s">
        <v>126</v>
      </c>
      <c r="N461" t="s">
        <v>305</v>
      </c>
      <c r="O461" t="s">
        <v>2578</v>
      </c>
      <c r="P461" t="s">
        <v>50</v>
      </c>
      <c r="Q461" t="s">
        <v>83</v>
      </c>
      <c r="R461" t="s">
        <v>2579</v>
      </c>
      <c r="S461">
        <v>21.6</v>
      </c>
      <c r="T461">
        <v>9.9359999999999999</v>
      </c>
      <c r="U461">
        <v>0.45999999999999996</v>
      </c>
      <c r="V461">
        <v>6</v>
      </c>
      <c r="W461">
        <v>0</v>
      </c>
      <c r="X461">
        <v>2017</v>
      </c>
      <c r="Y461">
        <v>5</v>
      </c>
      <c r="Z461" t="s">
        <v>53</v>
      </c>
    </row>
    <row r="462" spans="1:26" x14ac:dyDescent="0.35">
      <c r="A462">
        <v>9676</v>
      </c>
      <c r="B462" t="s">
        <v>2580</v>
      </c>
      <c r="C462" s="1">
        <v>42526</v>
      </c>
      <c r="D462" s="1">
        <v>42648</v>
      </c>
      <c r="E462">
        <v>122</v>
      </c>
      <c r="F462" t="s">
        <v>2581</v>
      </c>
      <c r="G462" t="s">
        <v>2582</v>
      </c>
      <c r="H462" t="s">
        <v>29</v>
      </c>
      <c r="I462" t="s">
        <v>44</v>
      </c>
      <c r="J462" t="s">
        <v>31</v>
      </c>
      <c r="K462" t="s">
        <v>205</v>
      </c>
      <c r="L462" t="s">
        <v>2583</v>
      </c>
      <c r="M462" t="s">
        <v>47</v>
      </c>
      <c r="N462" t="s">
        <v>2584</v>
      </c>
      <c r="O462" t="s">
        <v>2585</v>
      </c>
      <c r="P462" t="s">
        <v>37</v>
      </c>
      <c r="Q462" t="s">
        <v>129</v>
      </c>
      <c r="R462" t="s">
        <v>2586</v>
      </c>
      <c r="S462">
        <v>41.6</v>
      </c>
      <c r="T462">
        <v>14.144</v>
      </c>
      <c r="U462">
        <v>0.33999999999999997</v>
      </c>
      <c r="V462">
        <v>4</v>
      </c>
      <c r="W462">
        <v>0</v>
      </c>
      <c r="X462">
        <v>2016</v>
      </c>
      <c r="Y462">
        <v>6</v>
      </c>
      <c r="Z462" t="s">
        <v>120</v>
      </c>
    </row>
    <row r="463" spans="1:26" x14ac:dyDescent="0.35">
      <c r="A463">
        <v>9857</v>
      </c>
      <c r="B463" t="s">
        <v>2587</v>
      </c>
      <c r="C463" s="1">
        <v>41801</v>
      </c>
      <c r="D463" s="1">
        <v>41954</v>
      </c>
      <c r="E463">
        <v>153</v>
      </c>
      <c r="F463" t="s">
        <v>2588</v>
      </c>
      <c r="G463" t="s">
        <v>2589</v>
      </c>
      <c r="H463" t="s">
        <v>29</v>
      </c>
      <c r="I463" t="s">
        <v>44</v>
      </c>
      <c r="J463" t="s">
        <v>31</v>
      </c>
      <c r="K463" t="s">
        <v>345</v>
      </c>
      <c r="L463" t="s">
        <v>182</v>
      </c>
      <c r="M463" t="s">
        <v>34</v>
      </c>
      <c r="N463" t="s">
        <v>346</v>
      </c>
      <c r="O463" t="s">
        <v>2590</v>
      </c>
      <c r="P463" t="s">
        <v>50</v>
      </c>
      <c r="Q463" t="s">
        <v>83</v>
      </c>
      <c r="R463" t="s">
        <v>2591</v>
      </c>
      <c r="S463">
        <v>43.68</v>
      </c>
      <c r="T463">
        <v>20.9664</v>
      </c>
      <c r="U463">
        <v>0.48</v>
      </c>
      <c r="V463">
        <v>6</v>
      </c>
      <c r="W463">
        <v>0</v>
      </c>
      <c r="X463">
        <v>2014</v>
      </c>
      <c r="Y463">
        <v>6</v>
      </c>
      <c r="Z463" t="s">
        <v>120</v>
      </c>
    </row>
    <row r="464" spans="1:26" x14ac:dyDescent="0.35">
      <c r="A464">
        <v>9974</v>
      </c>
      <c r="B464" t="s">
        <v>2592</v>
      </c>
      <c r="C464" s="1">
        <v>42533</v>
      </c>
      <c r="D464" s="1">
        <v>42655</v>
      </c>
      <c r="E464">
        <v>122</v>
      </c>
      <c r="F464" t="s">
        <v>829</v>
      </c>
      <c r="G464" t="s">
        <v>830</v>
      </c>
      <c r="H464" t="s">
        <v>107</v>
      </c>
      <c r="I464" t="s">
        <v>44</v>
      </c>
      <c r="J464" t="s">
        <v>31</v>
      </c>
      <c r="K464" t="s">
        <v>205</v>
      </c>
      <c r="L464" t="s">
        <v>206</v>
      </c>
      <c r="M464" t="s">
        <v>47</v>
      </c>
      <c r="N464" t="s">
        <v>442</v>
      </c>
      <c r="O464" t="s">
        <v>2593</v>
      </c>
      <c r="P464" t="s">
        <v>64</v>
      </c>
      <c r="Q464" t="s">
        <v>65</v>
      </c>
      <c r="R464" t="s">
        <v>2594</v>
      </c>
      <c r="S464">
        <v>271.95999999999998</v>
      </c>
      <c r="T464">
        <v>27.196000000000002</v>
      </c>
      <c r="U464">
        <v>0.10000000000000002</v>
      </c>
      <c r="V464">
        <v>5</v>
      </c>
      <c r="W464">
        <v>0.2</v>
      </c>
      <c r="X464">
        <v>2016</v>
      </c>
      <c r="Y464">
        <v>6</v>
      </c>
      <c r="Z464" t="s">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03B98-44BC-42E0-9EC2-A38E53F2061D}">
  <dimension ref="C4:H19"/>
  <sheetViews>
    <sheetView showGridLines="0" topLeftCell="A3" zoomScale="95" workbookViewId="0">
      <selection activeCell="I13" sqref="I13"/>
    </sheetView>
  </sheetViews>
  <sheetFormatPr defaultRowHeight="14.5" x14ac:dyDescent="0.35"/>
  <cols>
    <col min="1" max="2" width="16.08984375" bestFit="1" customWidth="1"/>
    <col min="5" max="5" width="16.1796875" bestFit="1" customWidth="1"/>
    <col min="6" max="7" width="16.08984375" bestFit="1" customWidth="1"/>
  </cols>
  <sheetData>
    <row r="4" spans="3:8" ht="18" x14ac:dyDescent="0.4">
      <c r="C4" s="2"/>
      <c r="D4" s="2"/>
      <c r="E4" s="66" t="s">
        <v>2632</v>
      </c>
      <c r="F4" s="66"/>
      <c r="G4" s="66"/>
    </row>
    <row r="7" spans="3:8" ht="15" thickBot="1" x14ac:dyDescent="0.4"/>
    <row r="8" spans="3:8" x14ac:dyDescent="0.35">
      <c r="E8" s="67" t="s">
        <v>2595</v>
      </c>
      <c r="F8" s="68" t="s">
        <v>2596</v>
      </c>
      <c r="G8" s="69" t="s">
        <v>2615</v>
      </c>
    </row>
    <row r="9" spans="3:8" ht="15" thickBot="1" x14ac:dyDescent="0.4">
      <c r="E9" s="70">
        <v>94346.25300000007</v>
      </c>
      <c r="F9" s="71">
        <v>3590.7426000000023</v>
      </c>
      <c r="G9" s="72">
        <f>GETPIVOTDATA("Sum of Total Profit",$E$8)/GETPIVOTDATA("Sum of Total Sales",$E$8)</f>
        <v>3.8059196691149988E-2</v>
      </c>
    </row>
    <row r="10" spans="3:8" x14ac:dyDescent="0.35">
      <c r="H10" s="2"/>
    </row>
    <row r="14" spans="3:8" x14ac:dyDescent="0.35">
      <c r="E14" s="11"/>
    </row>
    <row r="19" spans="7:7" x14ac:dyDescent="0.35">
      <c r="G19" s="3"/>
    </row>
  </sheetData>
  <mergeCells count="1">
    <mergeCell ref="E4:G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388A1-1A0A-4052-9427-54948D66F8E2}">
  <dimension ref="D4:F14"/>
  <sheetViews>
    <sheetView showGridLines="0" workbookViewId="0">
      <selection activeCell="D4" sqref="D4:F4"/>
    </sheetView>
  </sheetViews>
  <sheetFormatPr defaultRowHeight="14.5" x14ac:dyDescent="0.35"/>
  <cols>
    <col min="1" max="1" width="10.36328125" bestFit="1" customWidth="1"/>
    <col min="2" max="3" width="16.08984375" bestFit="1" customWidth="1"/>
    <col min="4" max="4" width="10.36328125" bestFit="1" customWidth="1"/>
    <col min="5" max="6" width="16.08984375" bestFit="1" customWidth="1"/>
  </cols>
  <sheetData>
    <row r="4" spans="4:6" ht="18.5" x14ac:dyDescent="0.45">
      <c r="D4" s="62" t="s">
        <v>2599</v>
      </c>
      <c r="E4" s="62"/>
      <c r="F4" s="62"/>
    </row>
    <row r="9" spans="4:6" x14ac:dyDescent="0.35">
      <c r="D9" s="8" t="s">
        <v>12</v>
      </c>
      <c r="E9" s="3" t="s">
        <v>2595</v>
      </c>
      <c r="F9" s="3" t="s">
        <v>2596</v>
      </c>
    </row>
    <row r="10" spans="4:6" x14ac:dyDescent="0.35">
      <c r="D10" s="3" t="s">
        <v>47</v>
      </c>
      <c r="E10" s="9">
        <v>29257.834999999995</v>
      </c>
      <c r="F10" s="9">
        <v>3788.8518000000031</v>
      </c>
    </row>
    <row r="11" spans="4:6" x14ac:dyDescent="0.35">
      <c r="D11" s="3" t="s">
        <v>126</v>
      </c>
      <c r="E11" s="9">
        <v>22270.339999999997</v>
      </c>
      <c r="F11" s="9">
        <v>2448.3398999999999</v>
      </c>
    </row>
    <row r="12" spans="4:6" x14ac:dyDescent="0.35">
      <c r="D12" s="3" t="s">
        <v>61</v>
      </c>
      <c r="E12" s="9">
        <v>24108.272000000001</v>
      </c>
      <c r="F12" s="10">
        <v>-134.07379999999958</v>
      </c>
    </row>
    <row r="13" spans="4:6" x14ac:dyDescent="0.35">
      <c r="D13" s="3" t="s">
        <v>34</v>
      </c>
      <c r="E13" s="9">
        <v>18709.806000000004</v>
      </c>
      <c r="F13" s="10">
        <v>-2512.3752999999997</v>
      </c>
    </row>
    <row r="14" spans="4:6" x14ac:dyDescent="0.35">
      <c r="D14" s="3" t="s">
        <v>2598</v>
      </c>
      <c r="E14" s="9">
        <v>94346.252999999997</v>
      </c>
      <c r="F14" s="9">
        <v>3590.7426000000037</v>
      </c>
    </row>
  </sheetData>
  <mergeCells count="1">
    <mergeCell ref="D4:F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570AF-73F0-49A8-87C4-764167971E4D}">
  <dimension ref="B4:H28"/>
  <sheetViews>
    <sheetView showGridLines="0" workbookViewId="0">
      <selection activeCell="J9" sqref="J9"/>
    </sheetView>
  </sheetViews>
  <sheetFormatPr defaultRowHeight="14.5" x14ac:dyDescent="0.35"/>
  <cols>
    <col min="1" max="1" width="15.453125" bestFit="1" customWidth="1"/>
    <col min="2" max="2" width="16.08984375" bestFit="1" customWidth="1"/>
    <col min="3" max="4" width="15.453125" bestFit="1" customWidth="1"/>
    <col min="5" max="5" width="10.26953125" bestFit="1" customWidth="1"/>
    <col min="6" max="6" width="9.90625" bestFit="1" customWidth="1"/>
  </cols>
  <sheetData>
    <row r="4" spans="2:8" x14ac:dyDescent="0.35">
      <c r="C4" s="64" t="s">
        <v>2602</v>
      </c>
      <c r="D4" s="64"/>
      <c r="E4" s="64"/>
      <c r="F4" s="64"/>
      <c r="G4" s="64"/>
      <c r="H4" s="64"/>
    </row>
    <row r="5" spans="2:8" x14ac:dyDescent="0.35">
      <c r="B5" s="63"/>
      <c r="C5" s="63"/>
      <c r="D5" s="63"/>
      <c r="E5" s="63"/>
      <c r="F5" s="11"/>
      <c r="G5" s="11"/>
    </row>
    <row r="6" spans="2:8" ht="15" thickBot="1" x14ac:dyDescent="0.4"/>
    <row r="7" spans="2:8" ht="15" thickBot="1" x14ac:dyDescent="0.4">
      <c r="D7" s="16" t="s">
        <v>2597</v>
      </c>
      <c r="E7" s="21" t="s">
        <v>2600</v>
      </c>
      <c r="F7" s="4" t="s">
        <v>2601</v>
      </c>
    </row>
    <row r="8" spans="2:8" ht="15" thickBot="1" x14ac:dyDescent="0.4">
      <c r="D8" s="17" t="s">
        <v>37</v>
      </c>
      <c r="E8" s="12">
        <v>23882.903999999999</v>
      </c>
      <c r="F8" s="13">
        <v>1712.1577000000002</v>
      </c>
    </row>
    <row r="9" spans="2:8" x14ac:dyDescent="0.35">
      <c r="D9" s="18" t="s">
        <v>38</v>
      </c>
      <c r="E9" s="14">
        <v>2991.4679999999998</v>
      </c>
      <c r="F9" s="5">
        <v>-239.83960000000002</v>
      </c>
    </row>
    <row r="10" spans="2:8" x14ac:dyDescent="0.35">
      <c r="D10" s="19" t="s">
        <v>320</v>
      </c>
      <c r="E10" s="14">
        <v>10361.618999999999</v>
      </c>
      <c r="F10" s="6">
        <v>1637.3748000000003</v>
      </c>
    </row>
    <row r="11" spans="2:8" x14ac:dyDescent="0.35">
      <c r="D11" s="19" t="s">
        <v>129</v>
      </c>
      <c r="E11" s="14">
        <v>3840.4599999999991</v>
      </c>
      <c r="F11" s="6">
        <v>638.36980000000005</v>
      </c>
    </row>
    <row r="12" spans="2:8" ht="15" thickBot="1" x14ac:dyDescent="0.4">
      <c r="D12" s="20" t="s">
        <v>160</v>
      </c>
      <c r="E12" s="14">
        <v>6689.3569999999991</v>
      </c>
      <c r="F12" s="5">
        <v>-323.7473</v>
      </c>
    </row>
    <row r="13" spans="2:8" ht="15" thickBot="1" x14ac:dyDescent="0.4">
      <c r="D13" s="17" t="s">
        <v>50</v>
      </c>
      <c r="E13" s="14">
        <v>28888.377999999997</v>
      </c>
      <c r="F13" s="6">
        <v>1925.9178000000002</v>
      </c>
    </row>
    <row r="14" spans="2:8" x14ac:dyDescent="0.35">
      <c r="D14" s="18" t="s">
        <v>138</v>
      </c>
      <c r="E14" s="14">
        <v>4835.9120000000003</v>
      </c>
      <c r="F14" s="5">
        <v>-1092.4674</v>
      </c>
    </row>
    <row r="15" spans="2:8" x14ac:dyDescent="0.35">
      <c r="D15" s="19" t="s">
        <v>74</v>
      </c>
      <c r="E15" s="14">
        <v>2381.2559999999999</v>
      </c>
      <c r="F15" s="6">
        <v>459.03590000000003</v>
      </c>
    </row>
    <row r="16" spans="2:8" x14ac:dyDescent="0.35">
      <c r="D16" s="19" t="s">
        <v>51</v>
      </c>
      <c r="E16" s="14">
        <v>5777.9179999999988</v>
      </c>
      <c r="F16" s="6">
        <v>552.27430000000015</v>
      </c>
    </row>
    <row r="17" spans="4:6" x14ac:dyDescent="0.35">
      <c r="D17" s="19" t="s">
        <v>101</v>
      </c>
      <c r="E17" s="14">
        <v>583.14</v>
      </c>
      <c r="F17" s="6">
        <v>205.27760000000004</v>
      </c>
    </row>
    <row r="18" spans="4:6" x14ac:dyDescent="0.35">
      <c r="D18" s="19" t="s">
        <v>486</v>
      </c>
      <c r="E18" s="14">
        <v>116.38999999999999</v>
      </c>
      <c r="F18" s="6">
        <v>28.026200000000003</v>
      </c>
    </row>
    <row r="19" spans="4:6" x14ac:dyDescent="0.35">
      <c r="D19" s="19" t="s">
        <v>267</v>
      </c>
      <c r="E19" s="14">
        <v>521.82000000000005</v>
      </c>
      <c r="F19" s="6">
        <v>239.81940000000003</v>
      </c>
    </row>
    <row r="20" spans="4:6" x14ac:dyDescent="0.35">
      <c r="D20" s="19" t="s">
        <v>83</v>
      </c>
      <c r="E20" s="14">
        <v>3504.5939999999991</v>
      </c>
      <c r="F20" s="6">
        <v>1508.5275999999999</v>
      </c>
    </row>
    <row r="21" spans="4:6" x14ac:dyDescent="0.35">
      <c r="D21" s="19" t="s">
        <v>110</v>
      </c>
      <c r="E21" s="14">
        <v>6723.4279999999999</v>
      </c>
      <c r="F21" s="6">
        <v>878.95460000000003</v>
      </c>
    </row>
    <row r="22" spans="4:6" ht="15" thickBot="1" x14ac:dyDescent="0.4">
      <c r="D22" s="20" t="s">
        <v>531</v>
      </c>
      <c r="E22" s="14">
        <v>4443.92</v>
      </c>
      <c r="F22" s="5">
        <v>-853.53039999999999</v>
      </c>
    </row>
    <row r="23" spans="4:6" ht="15" thickBot="1" x14ac:dyDescent="0.4">
      <c r="D23" s="17" t="s">
        <v>64</v>
      </c>
      <c r="E23" s="14">
        <v>41574.97099999999</v>
      </c>
      <c r="F23" s="5">
        <v>-47.332899999998517</v>
      </c>
    </row>
    <row r="24" spans="4:6" x14ac:dyDescent="0.35">
      <c r="D24" s="18" t="s">
        <v>288</v>
      </c>
      <c r="E24" s="14">
        <v>8407.5</v>
      </c>
      <c r="F24" s="6">
        <v>2485.5165000000006</v>
      </c>
    </row>
    <row r="25" spans="4:6" x14ac:dyDescent="0.35">
      <c r="D25" s="19" t="s">
        <v>614</v>
      </c>
      <c r="E25" s="14">
        <v>2819.9319999999998</v>
      </c>
      <c r="F25" s="6">
        <v>604.98649999999998</v>
      </c>
    </row>
    <row r="26" spans="4:6" x14ac:dyDescent="0.35">
      <c r="D26" s="19" t="s">
        <v>353</v>
      </c>
      <c r="E26" s="14">
        <v>15437.672999999999</v>
      </c>
      <c r="F26" s="5">
        <v>-5323.4585999999999</v>
      </c>
    </row>
    <row r="27" spans="4:6" ht="15" thickBot="1" x14ac:dyDescent="0.4">
      <c r="D27" s="20" t="s">
        <v>65</v>
      </c>
      <c r="E27" s="14">
        <v>14909.865999999995</v>
      </c>
      <c r="F27" s="6">
        <v>2185.6227000000008</v>
      </c>
    </row>
    <row r="28" spans="4:6" ht="15" thickBot="1" x14ac:dyDescent="0.4">
      <c r="D28" s="17" t="s">
        <v>2598</v>
      </c>
      <c r="E28" s="15">
        <v>94346.252999999982</v>
      </c>
      <c r="F28" s="7">
        <v>3590.7426000000014</v>
      </c>
    </row>
  </sheetData>
  <mergeCells count="2">
    <mergeCell ref="B5:E5"/>
    <mergeCell ref="C4:H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4BA9E-8DD7-4894-86D0-D5E2B165A0E4}">
  <dimension ref="C3:E16"/>
  <sheetViews>
    <sheetView showGridLines="0" workbookViewId="0">
      <selection activeCell="F13" sqref="F13"/>
    </sheetView>
  </sheetViews>
  <sheetFormatPr defaultRowHeight="14.5" x14ac:dyDescent="0.35"/>
  <cols>
    <col min="1" max="1" width="10.6328125" bestFit="1" customWidth="1"/>
    <col min="2" max="2" width="16.08984375" bestFit="1" customWidth="1"/>
    <col min="3" max="3" width="10.6328125" bestFit="1" customWidth="1"/>
    <col min="4" max="5" width="16.08984375" bestFit="1" customWidth="1"/>
    <col min="6" max="6" width="19.6328125" bestFit="1" customWidth="1"/>
  </cols>
  <sheetData>
    <row r="3" spans="3:5" x14ac:dyDescent="0.35">
      <c r="D3" s="64" t="s">
        <v>2612</v>
      </c>
      <c r="E3" s="64"/>
    </row>
    <row r="5" spans="3:5" ht="15" thickBot="1" x14ac:dyDescent="0.4"/>
    <row r="6" spans="3:5" ht="15" thickBot="1" x14ac:dyDescent="0.4">
      <c r="C6" s="16" t="s">
        <v>22</v>
      </c>
      <c r="D6" s="21" t="s">
        <v>2595</v>
      </c>
      <c r="E6" s="4" t="s">
        <v>2596</v>
      </c>
    </row>
    <row r="7" spans="3:5" x14ac:dyDescent="0.35">
      <c r="C7" s="37" t="s">
        <v>2603</v>
      </c>
      <c r="D7" s="12">
        <v>38738.729999999996</v>
      </c>
      <c r="E7" s="13">
        <v>11425.459499999999</v>
      </c>
    </row>
    <row r="8" spans="3:5" x14ac:dyDescent="0.35">
      <c r="C8" s="38" t="s">
        <v>2604</v>
      </c>
      <c r="D8" s="14">
        <v>5553.3140000000003</v>
      </c>
      <c r="E8" s="6">
        <v>1004.841</v>
      </c>
    </row>
    <row r="9" spans="3:5" x14ac:dyDescent="0.35">
      <c r="C9" s="38" t="s">
        <v>2605</v>
      </c>
      <c r="D9" s="14">
        <v>28786.127999999997</v>
      </c>
      <c r="E9" s="6">
        <v>2564.4425000000001</v>
      </c>
    </row>
    <row r="10" spans="3:5" x14ac:dyDescent="0.35">
      <c r="C10" s="38" t="s">
        <v>2606</v>
      </c>
      <c r="D10" s="14">
        <v>1678.943</v>
      </c>
      <c r="E10" s="5">
        <v>-255.22969999999998</v>
      </c>
    </row>
    <row r="11" spans="3:5" x14ac:dyDescent="0.35">
      <c r="C11" s="38" t="s">
        <v>2607</v>
      </c>
      <c r="D11" s="14">
        <v>4924.8279999999995</v>
      </c>
      <c r="E11" s="5">
        <v>-919.04489999999964</v>
      </c>
    </row>
    <row r="12" spans="3:5" x14ac:dyDescent="0.35">
      <c r="C12" s="38" t="s">
        <v>2608</v>
      </c>
      <c r="D12" s="14">
        <v>10197.074999999999</v>
      </c>
      <c r="E12" s="5">
        <v>-4746.0918999999994</v>
      </c>
    </row>
    <row r="13" spans="3:5" x14ac:dyDescent="0.35">
      <c r="C13" s="38" t="s">
        <v>2609</v>
      </c>
      <c r="D13" s="14">
        <v>281.89999999999998</v>
      </c>
      <c r="E13" s="5">
        <v>-232.84359999999998</v>
      </c>
    </row>
    <row r="14" spans="3:5" x14ac:dyDescent="0.35">
      <c r="C14" s="38" t="s">
        <v>2610</v>
      </c>
      <c r="D14" s="14">
        <v>3254.2650000000003</v>
      </c>
      <c r="E14" s="5">
        <v>-2960.5449999999992</v>
      </c>
    </row>
    <row r="15" spans="3:5" ht="15" thickBot="1" x14ac:dyDescent="0.4">
      <c r="C15" s="39" t="s">
        <v>2611</v>
      </c>
      <c r="D15" s="14">
        <v>931.07</v>
      </c>
      <c r="E15" s="5">
        <v>-2290.2452999999996</v>
      </c>
    </row>
    <row r="16" spans="3:5" ht="15" thickBot="1" x14ac:dyDescent="0.4">
      <c r="C16" s="17" t="s">
        <v>2598</v>
      </c>
      <c r="D16" s="15">
        <v>94346.252999999982</v>
      </c>
      <c r="E16" s="7">
        <v>3590.7426000000014</v>
      </c>
    </row>
  </sheetData>
  <mergeCells count="1">
    <mergeCell ref="D3:E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5B8E-A524-4C3A-9D5C-3F1666EBE135}">
  <dimension ref="B2:F263"/>
  <sheetViews>
    <sheetView showGridLines="0" tabSelected="1" zoomScale="108" workbookViewId="0">
      <selection activeCell="E4" sqref="E4"/>
    </sheetView>
  </sheetViews>
  <sheetFormatPr defaultRowHeight="14.5" x14ac:dyDescent="0.35"/>
  <cols>
    <col min="1" max="2" width="12.453125" bestFit="1" customWidth="1"/>
    <col min="3" max="25" width="16.08984375" bestFit="1" customWidth="1"/>
    <col min="26" max="27" width="20.6328125" bestFit="1" customWidth="1"/>
  </cols>
  <sheetData>
    <row r="2" spans="2:6" x14ac:dyDescent="0.35">
      <c r="C2" s="64" t="s">
        <v>2613</v>
      </c>
      <c r="D2" s="64"/>
    </row>
    <row r="4" spans="2:6" ht="15" thickBot="1" x14ac:dyDescent="0.4"/>
    <row r="5" spans="2:6" ht="15" thickBot="1" x14ac:dyDescent="0.4">
      <c r="B5" s="23" t="s">
        <v>2597</v>
      </c>
      <c r="C5" s="21" t="s">
        <v>2595</v>
      </c>
      <c r="D5" s="4" t="s">
        <v>2596</v>
      </c>
      <c r="F5" s="22"/>
    </row>
    <row r="6" spans="2:6" x14ac:dyDescent="0.35">
      <c r="B6" s="35" t="s">
        <v>2616</v>
      </c>
      <c r="C6" s="12">
        <v>14014.608</v>
      </c>
      <c r="D6" s="13">
        <v>1863.0055</v>
      </c>
    </row>
    <row r="7" spans="2:6" x14ac:dyDescent="0.35">
      <c r="B7" s="36" t="s">
        <v>2620</v>
      </c>
      <c r="C7" s="14">
        <v>4992.4099999999989</v>
      </c>
      <c r="D7" s="6">
        <v>1062.4985999999999</v>
      </c>
    </row>
    <row r="8" spans="2:6" x14ac:dyDescent="0.35">
      <c r="B8" s="36" t="s">
        <v>2621</v>
      </c>
      <c r="C8" s="14">
        <v>806.82799999999997</v>
      </c>
      <c r="D8" s="6">
        <v>-41.920800000000014</v>
      </c>
    </row>
    <row r="9" spans="2:6" x14ac:dyDescent="0.35">
      <c r="B9" s="36" t="s">
        <v>2622</v>
      </c>
      <c r="C9" s="14">
        <v>1317.075</v>
      </c>
      <c r="D9" s="6">
        <v>-26.503099999999996</v>
      </c>
    </row>
    <row r="10" spans="2:6" x14ac:dyDescent="0.35">
      <c r="B10" s="36" t="s">
        <v>2623</v>
      </c>
      <c r="C10" s="14">
        <v>1866.0020000000002</v>
      </c>
      <c r="D10" s="6">
        <v>468.45659999999998</v>
      </c>
    </row>
    <row r="11" spans="2:6" x14ac:dyDescent="0.35">
      <c r="B11" s="36" t="s">
        <v>53</v>
      </c>
      <c r="C11" s="14">
        <v>2104.4700000000003</v>
      </c>
      <c r="D11" s="6">
        <v>417.73950000000002</v>
      </c>
    </row>
    <row r="12" spans="2:6" x14ac:dyDescent="0.35">
      <c r="B12" s="36" t="s">
        <v>2624</v>
      </c>
      <c r="C12" s="14">
        <v>430.95799999999997</v>
      </c>
      <c r="D12" s="6">
        <v>75.856500000000011</v>
      </c>
    </row>
    <row r="13" spans="2:6" x14ac:dyDescent="0.35">
      <c r="B13" s="36" t="s">
        <v>2625</v>
      </c>
      <c r="C13" s="14">
        <v>424.11700000000002</v>
      </c>
      <c r="D13" s="6">
        <v>-173.33959999999999</v>
      </c>
    </row>
    <row r="14" spans="2:6" x14ac:dyDescent="0.35">
      <c r="B14" s="36" t="s">
        <v>2626</v>
      </c>
      <c r="C14" s="14">
        <v>1207.5439999999999</v>
      </c>
      <c r="D14" s="6">
        <v>-44.260799999999989</v>
      </c>
    </row>
    <row r="15" spans="2:6" x14ac:dyDescent="0.35">
      <c r="B15" s="36" t="s">
        <v>2627</v>
      </c>
      <c r="C15" s="14">
        <v>507.36</v>
      </c>
      <c r="D15" s="6">
        <v>83.300399999999996</v>
      </c>
    </row>
    <row r="16" spans="2:6" x14ac:dyDescent="0.35">
      <c r="B16" s="36" t="s">
        <v>2628</v>
      </c>
      <c r="C16" s="14">
        <v>357.84399999999999</v>
      </c>
      <c r="D16" s="6">
        <v>41.178200000000004</v>
      </c>
    </row>
    <row r="17" spans="2:4" x14ac:dyDescent="0.35">
      <c r="B17" s="35" t="s">
        <v>2617</v>
      </c>
      <c r="C17" s="14">
        <v>16910.051999999996</v>
      </c>
      <c r="D17" s="6">
        <v>493.14189999999985</v>
      </c>
    </row>
    <row r="18" spans="2:4" x14ac:dyDescent="0.35">
      <c r="B18" s="36" t="s">
        <v>2620</v>
      </c>
      <c r="C18" s="14">
        <v>173.76799999999997</v>
      </c>
      <c r="D18" s="6">
        <v>33.660400000000003</v>
      </c>
    </row>
    <row r="19" spans="2:4" x14ac:dyDescent="0.35">
      <c r="B19" s="36" t="s">
        <v>2621</v>
      </c>
      <c r="C19" s="14">
        <v>5236.7280000000001</v>
      </c>
      <c r="D19" s="6">
        <v>549.83180000000004</v>
      </c>
    </row>
    <row r="20" spans="2:4" x14ac:dyDescent="0.35">
      <c r="B20" s="36" t="s">
        <v>2622</v>
      </c>
      <c r="C20" s="14">
        <v>3143.8959999999997</v>
      </c>
      <c r="D20" s="6">
        <v>77.285500000000013</v>
      </c>
    </row>
    <row r="21" spans="2:4" x14ac:dyDescent="0.35">
      <c r="B21" s="36" t="s">
        <v>2623</v>
      </c>
      <c r="C21" s="14">
        <v>2589.3960000000006</v>
      </c>
      <c r="D21" s="6">
        <v>535.57899999999984</v>
      </c>
    </row>
    <row r="22" spans="2:4" x14ac:dyDescent="0.35">
      <c r="B22" s="36" t="s">
        <v>53</v>
      </c>
      <c r="C22" s="14">
        <v>2276.3020000000001</v>
      </c>
      <c r="D22" s="6">
        <v>-135.55519999999999</v>
      </c>
    </row>
    <row r="23" spans="2:4" x14ac:dyDescent="0.35">
      <c r="B23" s="36" t="s">
        <v>2624</v>
      </c>
      <c r="C23" s="14">
        <v>1175.3879999999999</v>
      </c>
      <c r="D23" s="6">
        <v>81.065799999999996</v>
      </c>
    </row>
    <row r="24" spans="2:4" x14ac:dyDescent="0.35">
      <c r="B24" s="36" t="s">
        <v>2625</v>
      </c>
      <c r="C24" s="14">
        <v>954.64399999999989</v>
      </c>
      <c r="D24" s="6">
        <v>-1100.6386</v>
      </c>
    </row>
    <row r="25" spans="2:4" x14ac:dyDescent="0.35">
      <c r="B25" s="36" t="s">
        <v>2626</v>
      </c>
      <c r="C25" s="14">
        <v>533.38</v>
      </c>
      <c r="D25" s="6">
        <v>192.99250000000001</v>
      </c>
    </row>
    <row r="26" spans="2:4" x14ac:dyDescent="0.35">
      <c r="B26" s="36" t="s">
        <v>2627</v>
      </c>
      <c r="C26" s="14">
        <v>440.82799999999997</v>
      </c>
      <c r="D26" s="6">
        <v>126.71090000000001</v>
      </c>
    </row>
    <row r="27" spans="2:4" x14ac:dyDescent="0.35">
      <c r="B27" s="36" t="s">
        <v>2628</v>
      </c>
      <c r="C27" s="14">
        <v>4.4779999999999998</v>
      </c>
      <c r="D27" s="6">
        <v>-4.1344000000000003</v>
      </c>
    </row>
    <row r="28" spans="2:4" x14ac:dyDescent="0.35">
      <c r="B28" s="36" t="s">
        <v>2629</v>
      </c>
      <c r="C28" s="14">
        <v>381.24400000000003</v>
      </c>
      <c r="D28" s="6">
        <v>136.3442</v>
      </c>
    </row>
    <row r="29" spans="2:4" x14ac:dyDescent="0.35">
      <c r="B29" s="35" t="s">
        <v>2618</v>
      </c>
      <c r="C29" s="14">
        <v>30330.514000000003</v>
      </c>
      <c r="D29" s="6">
        <v>1475.6891999999998</v>
      </c>
    </row>
    <row r="30" spans="2:4" x14ac:dyDescent="0.35">
      <c r="B30" s="36" t="s">
        <v>2620</v>
      </c>
      <c r="C30" s="14">
        <v>1090.354</v>
      </c>
      <c r="D30" s="6">
        <v>80.625999999999991</v>
      </c>
    </row>
    <row r="31" spans="2:4" x14ac:dyDescent="0.35">
      <c r="B31" s="36" t="s">
        <v>2621</v>
      </c>
      <c r="C31" s="14">
        <v>926.92200000000014</v>
      </c>
      <c r="D31" s="6">
        <v>13.868599999999994</v>
      </c>
    </row>
    <row r="32" spans="2:4" x14ac:dyDescent="0.35">
      <c r="B32" s="36" t="s">
        <v>2622</v>
      </c>
      <c r="C32" s="14">
        <v>9315.7820000000011</v>
      </c>
      <c r="D32" s="6">
        <v>-451.73899999999998</v>
      </c>
    </row>
    <row r="33" spans="2:4" x14ac:dyDescent="0.35">
      <c r="B33" s="36" t="s">
        <v>2623</v>
      </c>
      <c r="C33" s="14">
        <v>2804.6039999999998</v>
      </c>
      <c r="D33" s="6">
        <v>376.52750000000003</v>
      </c>
    </row>
    <row r="34" spans="2:4" x14ac:dyDescent="0.35">
      <c r="B34" s="36" t="s">
        <v>53</v>
      </c>
      <c r="C34" s="14">
        <v>4979.0960000000005</v>
      </c>
      <c r="D34" s="6">
        <v>1090.9141</v>
      </c>
    </row>
    <row r="35" spans="2:4" x14ac:dyDescent="0.35">
      <c r="B35" s="36" t="s">
        <v>2624</v>
      </c>
      <c r="C35" s="14">
        <v>2268.1979999999999</v>
      </c>
      <c r="D35" s="6">
        <v>-615.33729999999991</v>
      </c>
    </row>
    <row r="36" spans="2:4" x14ac:dyDescent="0.35">
      <c r="B36" s="36" t="s">
        <v>2625</v>
      </c>
      <c r="C36" s="14">
        <v>2574.462</v>
      </c>
      <c r="D36" s="6">
        <v>686.80349999999999</v>
      </c>
    </row>
    <row r="37" spans="2:4" x14ac:dyDescent="0.35">
      <c r="B37" s="36" t="s">
        <v>2626</v>
      </c>
      <c r="C37" s="14">
        <v>5545.0870000000004</v>
      </c>
      <c r="D37" s="6">
        <v>726.75390000000004</v>
      </c>
    </row>
    <row r="38" spans="2:4" x14ac:dyDescent="0.35">
      <c r="B38" s="36" t="s">
        <v>2627</v>
      </c>
      <c r="C38" s="14">
        <v>49.951999999999998</v>
      </c>
      <c r="D38" s="6">
        <v>15.610000000000001</v>
      </c>
    </row>
    <row r="39" spans="2:4" x14ac:dyDescent="0.35">
      <c r="B39" s="36" t="s">
        <v>2628</v>
      </c>
      <c r="C39" s="14">
        <v>678.37300000000005</v>
      </c>
      <c r="D39" s="6">
        <v>-461.59659999999997</v>
      </c>
    </row>
    <row r="40" spans="2:4" x14ac:dyDescent="0.35">
      <c r="B40" s="36" t="s">
        <v>2629</v>
      </c>
      <c r="C40" s="14">
        <v>91.204000000000008</v>
      </c>
      <c r="D40" s="6">
        <v>10.148099999999999</v>
      </c>
    </row>
    <row r="41" spans="2:4" x14ac:dyDescent="0.35">
      <c r="B41" s="36" t="s">
        <v>2630</v>
      </c>
      <c r="C41" s="14">
        <v>6.48</v>
      </c>
      <c r="D41" s="6">
        <v>3.1103999999999998</v>
      </c>
    </row>
    <row r="42" spans="2:4" x14ac:dyDescent="0.35">
      <c r="B42" s="35" t="s">
        <v>2619</v>
      </c>
      <c r="C42" s="14">
        <v>33091.079000000005</v>
      </c>
      <c r="D42" s="6">
        <v>-241.09400000000204</v>
      </c>
    </row>
    <row r="43" spans="2:4" x14ac:dyDescent="0.35">
      <c r="B43" s="36" t="s">
        <v>2620</v>
      </c>
      <c r="C43" s="14">
        <v>5280.0340000000006</v>
      </c>
      <c r="D43" s="6">
        <v>1042.2768999999998</v>
      </c>
    </row>
    <row r="44" spans="2:4" x14ac:dyDescent="0.35">
      <c r="B44" s="36" t="s">
        <v>2621</v>
      </c>
      <c r="C44" s="14">
        <v>3275.1559999999995</v>
      </c>
      <c r="D44" s="6">
        <v>-386.93929999999983</v>
      </c>
    </row>
    <row r="45" spans="2:4" x14ac:dyDescent="0.35">
      <c r="B45" s="36" t="s">
        <v>2622</v>
      </c>
      <c r="C45" s="14">
        <v>4913.8170000000009</v>
      </c>
      <c r="D45" s="6">
        <v>1694.2826999999997</v>
      </c>
    </row>
    <row r="46" spans="2:4" x14ac:dyDescent="0.35">
      <c r="B46" s="36" t="s">
        <v>2623</v>
      </c>
      <c r="C46" s="14">
        <v>10075.319</v>
      </c>
      <c r="D46" s="6">
        <v>-4180.0498000000016</v>
      </c>
    </row>
    <row r="47" spans="2:4" x14ac:dyDescent="0.35">
      <c r="B47" s="36" t="s">
        <v>53</v>
      </c>
      <c r="C47" s="14">
        <v>897.48599999999999</v>
      </c>
      <c r="D47" s="6">
        <v>141.47929999999999</v>
      </c>
    </row>
    <row r="48" spans="2:4" x14ac:dyDescent="0.35">
      <c r="B48" s="36" t="s">
        <v>2624</v>
      </c>
      <c r="C48" s="14">
        <v>1642.7300000000002</v>
      </c>
      <c r="D48" s="6">
        <v>391.47839999999997</v>
      </c>
    </row>
    <row r="49" spans="2:4" x14ac:dyDescent="0.35">
      <c r="B49" s="36" t="s">
        <v>2625</v>
      </c>
      <c r="C49" s="14">
        <v>2592.8089999999997</v>
      </c>
      <c r="D49" s="6">
        <v>311.23099999999999</v>
      </c>
    </row>
    <row r="50" spans="2:4" x14ac:dyDescent="0.35">
      <c r="B50" s="36" t="s">
        <v>2626</v>
      </c>
      <c r="C50" s="14">
        <v>2822.2740000000003</v>
      </c>
      <c r="D50" s="6">
        <v>525.17640000000006</v>
      </c>
    </row>
    <row r="51" spans="2:4" x14ac:dyDescent="0.35">
      <c r="B51" s="36" t="s">
        <v>2627</v>
      </c>
      <c r="C51" s="14">
        <v>518.75800000000004</v>
      </c>
      <c r="D51" s="6">
        <v>107.697</v>
      </c>
    </row>
    <row r="52" spans="2:4" x14ac:dyDescent="0.35">
      <c r="B52" s="36" t="s">
        <v>2628</v>
      </c>
      <c r="C52" s="14">
        <v>210.36</v>
      </c>
      <c r="D52" s="6">
        <v>83.016799999999989</v>
      </c>
    </row>
    <row r="53" spans="2:4" x14ac:dyDescent="0.35">
      <c r="B53" s="36" t="s">
        <v>2629</v>
      </c>
      <c r="C53" s="14">
        <v>483.58599999999996</v>
      </c>
      <c r="D53" s="6">
        <v>119.26289999999997</v>
      </c>
    </row>
    <row r="54" spans="2:4" ht="15" thickBot="1" x14ac:dyDescent="0.4">
      <c r="B54" s="36" t="s">
        <v>2630</v>
      </c>
      <c r="C54" s="14">
        <v>378.75</v>
      </c>
      <c r="D54" s="6">
        <v>-90.006299999999996</v>
      </c>
    </row>
    <row r="55" spans="2:4" ht="15" thickBot="1" x14ac:dyDescent="0.4">
      <c r="B55" s="17" t="s">
        <v>2598</v>
      </c>
      <c r="C55" s="15">
        <v>94346.252999999997</v>
      </c>
      <c r="D55" s="7">
        <v>3590.7425999999978</v>
      </c>
    </row>
    <row r="262" ht="15" thickBot="1" x14ac:dyDescent="0.4"/>
    <row r="263" ht="15" thickBot="1" x14ac:dyDescent="0.4"/>
  </sheetData>
  <mergeCells count="1">
    <mergeCell ref="C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8E55B-A6EF-4A65-BB5E-70B0D1F1DACF}">
  <dimension ref="B2:L10"/>
  <sheetViews>
    <sheetView showGridLines="0" zoomScale="87" zoomScaleNormal="87" workbookViewId="0">
      <selection activeCell="K12" sqref="K12"/>
    </sheetView>
  </sheetViews>
  <sheetFormatPr defaultRowHeight="14.5" x14ac:dyDescent="0.35"/>
  <cols>
    <col min="2" max="2" width="8.6328125" customWidth="1"/>
    <col min="3" max="3" width="19.1796875" bestFit="1" customWidth="1"/>
    <col min="7" max="7" width="19.1796875" customWidth="1"/>
    <col min="8" max="8" width="8.7265625" customWidth="1"/>
    <col min="10" max="10" width="8.7265625" customWidth="1"/>
    <col min="11" max="11" width="19.1796875" customWidth="1"/>
    <col min="13" max="13" width="14.90625" bestFit="1" customWidth="1"/>
  </cols>
  <sheetData>
    <row r="2" spans="2:12" ht="26" x14ac:dyDescent="0.6">
      <c r="C2" s="65" t="s">
        <v>2631</v>
      </c>
      <c r="D2" s="65"/>
      <c r="E2" s="65"/>
      <c r="F2" s="65"/>
      <c r="G2" s="65"/>
      <c r="H2" s="65"/>
      <c r="I2" s="65"/>
      <c r="J2" s="65"/>
      <c r="K2" s="65"/>
    </row>
    <row r="4" spans="2:12" ht="15" thickBot="1" x14ac:dyDescent="0.4"/>
    <row r="5" spans="2:12" ht="14.5" customHeight="1" x14ac:dyDescent="0.35">
      <c r="B5" s="40"/>
      <c r="C5" s="41" t="s">
        <v>18</v>
      </c>
      <c r="D5" s="42"/>
      <c r="F5" s="51"/>
      <c r="G5" s="52" t="s">
        <v>19</v>
      </c>
      <c r="H5" s="53"/>
      <c r="J5" s="26"/>
      <c r="K5" s="34" t="s">
        <v>2614</v>
      </c>
      <c r="L5" s="27"/>
    </row>
    <row r="6" spans="2:12" x14ac:dyDescent="0.35">
      <c r="B6" s="43"/>
      <c r="C6" s="44"/>
      <c r="D6" s="45"/>
      <c r="F6" s="54"/>
      <c r="G6" s="55"/>
      <c r="H6" s="56"/>
      <c r="J6" s="28"/>
      <c r="K6" s="24"/>
      <c r="L6" s="29"/>
    </row>
    <row r="7" spans="2:12" ht="15" thickBot="1" x14ac:dyDescent="0.4">
      <c r="B7" s="43"/>
      <c r="C7" s="46"/>
      <c r="D7" s="45"/>
      <c r="F7" s="54"/>
      <c r="G7" s="57"/>
      <c r="H7" s="56"/>
      <c r="J7" s="28"/>
      <c r="K7" s="30"/>
      <c r="L7" s="29"/>
    </row>
    <row r="8" spans="2:12" ht="26" x14ac:dyDescent="0.35">
      <c r="B8" s="43"/>
      <c r="C8" s="47">
        <f>GETPIVOTDATA("Sum of Total Sales",'1. KPI Overview'!$E$8)</f>
        <v>94346.25300000007</v>
      </c>
      <c r="D8" s="45"/>
      <c r="F8" s="54"/>
      <c r="G8" s="58">
        <f>GETPIVOTDATA("Sum of Total Profit",'1. KPI Overview'!$E$8)</f>
        <v>3590.7426000000023</v>
      </c>
      <c r="H8" s="56"/>
      <c r="J8" s="28"/>
      <c r="K8" s="25">
        <f>'1. KPI Overview'!G9</f>
        <v>3.8059196691149988E-2</v>
      </c>
      <c r="L8" s="29"/>
    </row>
    <row r="9" spans="2:12" x14ac:dyDescent="0.35">
      <c r="B9" s="43"/>
      <c r="C9" s="44"/>
      <c r="D9" s="45"/>
      <c r="F9" s="54"/>
      <c r="G9" s="55"/>
      <c r="H9" s="56"/>
      <c r="J9" s="28"/>
      <c r="K9" s="24"/>
      <c r="L9" s="29"/>
    </row>
    <row r="10" spans="2:12" ht="15" thickBot="1" x14ac:dyDescent="0.4">
      <c r="B10" s="48"/>
      <c r="C10" s="49"/>
      <c r="D10" s="50"/>
      <c r="F10" s="59"/>
      <c r="G10" s="60"/>
      <c r="H10" s="61"/>
      <c r="J10" s="31"/>
      <c r="K10" s="32"/>
      <c r="L10" s="33"/>
    </row>
  </sheetData>
  <mergeCells count="1">
    <mergeCell ref="C2:K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B9EA6A-FE3E-493E-9556-97D480A205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Sample - Superstore</vt:lpstr>
      <vt:lpstr>1. KPI Overview</vt:lpstr>
      <vt:lpstr>2. Region Analysis</vt:lpstr>
      <vt:lpstr>3. Product Analysis</vt:lpstr>
      <vt:lpstr>4. Discount Analysis</vt:lpstr>
      <vt:lpstr>5. Time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Kumar</dc:creator>
  <cp:lastModifiedBy>Sai Kumar</cp:lastModifiedBy>
  <dcterms:created xsi:type="dcterms:W3CDTF">2026-04-13T04:19:08Z</dcterms:created>
  <dcterms:modified xsi:type="dcterms:W3CDTF">2026-04-24T20:24:43Z</dcterms:modified>
</cp:coreProperties>
</file>